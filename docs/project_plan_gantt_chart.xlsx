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ckgedge/Library/Mobile Documents/com~apple~CloudDocs/Dev/data/msc/dissertation/iifo_data/lit_search_4/docs/"/>
    </mc:Choice>
  </mc:AlternateContent>
  <xr:revisionPtr revIDLastSave="0" documentId="13_ncr:1_{A3A53767-EC19-E748-8090-6ED50EEB398A}" xr6:coauthVersionLast="47" xr6:coauthVersionMax="47" xr10:uidLastSave="{00000000-0000-0000-0000-000000000000}"/>
  <bookViews>
    <workbookView xWindow="0" yWindow="880" windowWidth="26120" windowHeight="15460" xr2:uid="{A81863E3-736B-48DE-8749-47C9CF9BE7DC}"/>
  </bookViews>
  <sheets>
    <sheet name="Sheet1" sheetId="1" r:id="rId1"/>
    <sheet name="Deadlines" sheetId="2" r:id="rId2"/>
    <sheet name="Holidays" sheetId="3" r:id="rId3"/>
  </sheets>
  <definedNames>
    <definedName name="display_week">Sheet1!$B$4</definedName>
    <definedName name="project_start">Sheet1!$B$3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1" l="1"/>
  <c r="C5" i="1"/>
  <c r="F5" i="1" l="1"/>
  <c r="E6" i="1"/>
  <c r="E4" i="1"/>
  <c r="F6" i="1" l="1"/>
  <c r="G5" i="1"/>
  <c r="G6" i="1" l="1"/>
  <c r="H5" i="1"/>
  <c r="I5" i="1" l="1"/>
  <c r="H6" i="1"/>
  <c r="I6" i="1" l="1"/>
  <c r="J5" i="1"/>
  <c r="K5" i="1" l="1"/>
  <c r="J6" i="1"/>
  <c r="L5" i="1" l="1"/>
  <c r="K6" i="1"/>
  <c r="L4" i="1" l="1"/>
  <c r="M5" i="1"/>
  <c r="L6" i="1"/>
  <c r="M6" i="1" l="1"/>
  <c r="N5" i="1"/>
  <c r="O5" i="1" l="1"/>
  <c r="N6" i="1"/>
  <c r="P5" i="1" l="1"/>
  <c r="O6" i="1"/>
  <c r="Q5" i="1" l="1"/>
  <c r="P6" i="1"/>
  <c r="R5" i="1" l="1"/>
  <c r="Q6" i="1"/>
  <c r="R6" i="1" l="1"/>
  <c r="S5" i="1"/>
  <c r="S6" i="1" l="1"/>
  <c r="T5" i="1"/>
  <c r="S4" i="1"/>
  <c r="T6" i="1" l="1"/>
  <c r="U5" i="1"/>
  <c r="V5" i="1" l="1"/>
  <c r="U6" i="1"/>
  <c r="V6" i="1" l="1"/>
  <c r="W5" i="1"/>
  <c r="W6" i="1" l="1"/>
  <c r="X5" i="1"/>
  <c r="Y5" i="1" l="1"/>
  <c r="X6" i="1"/>
  <c r="Y6" i="1" l="1"/>
  <c r="Z5" i="1"/>
  <c r="Z4" i="1" l="1"/>
  <c r="AA5" i="1"/>
  <c r="Z6" i="1"/>
  <c r="AB5" i="1" l="1"/>
  <c r="AA6" i="1"/>
  <c r="AC5" i="1" l="1"/>
  <c r="AB6" i="1"/>
  <c r="AD5" i="1" l="1"/>
  <c r="AC6" i="1"/>
  <c r="AD6" i="1" l="1"/>
  <c r="AE5" i="1"/>
  <c r="AF5" i="1" l="1"/>
  <c r="AE6" i="1"/>
  <c r="AF6" i="1" l="1"/>
  <c r="AG5" i="1"/>
  <c r="AG6" i="1" l="1"/>
  <c r="AG4" i="1"/>
  <c r="AH5" i="1"/>
  <c r="AH6" i="1" l="1"/>
  <c r="AI5" i="1"/>
  <c r="AJ5" i="1" l="1"/>
  <c r="AI6" i="1"/>
  <c r="AK5" i="1" l="1"/>
  <c r="AJ6" i="1"/>
  <c r="AK6" i="1" l="1"/>
  <c r="AL5" i="1"/>
  <c r="AM5" i="1" l="1"/>
  <c r="AM6" i="1" s="1"/>
  <c r="AL6" i="1"/>
</calcChain>
</file>

<file path=xl/sharedStrings.xml><?xml version="1.0" encoding="utf-8"?>
<sst xmlns="http://schemas.openxmlformats.org/spreadsheetml/2006/main" count="105" uniqueCount="104">
  <si>
    <t>Project Initiation and Planning</t>
  </si>
  <si>
    <t>Conduct Preliminary Literature Searches to identify potential topics</t>
  </si>
  <si>
    <t>Discuss ideas with Supervisor</t>
  </si>
  <si>
    <t>Set up Obsidian Workspace</t>
  </si>
  <si>
    <t>Organise folders and notes for project management</t>
  </si>
  <si>
    <t>Finalise Topic Selection</t>
  </si>
  <si>
    <t>Decide on specific focus for systematic review</t>
  </si>
  <si>
    <t>Contact Employer about using their data for own research</t>
  </si>
  <si>
    <t>Contact Prof Elaine Cole regarding ethics of accessing non-NHS data</t>
  </si>
  <si>
    <t>Deadline</t>
  </si>
  <si>
    <t>Date</t>
  </si>
  <si>
    <t>Submit Topic Proposal</t>
  </si>
  <si>
    <t>Develop Research Question and Objectives</t>
  </si>
  <si>
    <t>Use PICO framework</t>
  </si>
  <si>
    <t>Being drafting introduction</t>
  </si>
  <si>
    <t>Make enquiries about own research</t>
  </si>
  <si>
    <t>Bounce Ideas off of supervisor</t>
  </si>
  <si>
    <t>Define Inclusion and Exclusion Criteria</t>
  </si>
  <si>
    <t>Design Search Strategy</t>
  </si>
  <si>
    <t>Identify databases and key search terms</t>
  </si>
  <si>
    <t>Test Initial Searches on key databases</t>
  </si>
  <si>
    <t>Draft Methodolgy Section</t>
  </si>
  <si>
    <t>Detail search strategy, study selection process and data extraction plan.</t>
  </si>
  <si>
    <t>Detail Timeline</t>
  </si>
  <si>
    <t>Create Timeline and Gantt Chart</t>
  </si>
  <si>
    <t>Use Microsoft Excel to create Gantt chart.</t>
  </si>
  <si>
    <t>Review and Revise Project Plan</t>
  </si>
  <si>
    <t>Incorporate Supervisor Feedback</t>
  </si>
  <si>
    <t>Proofread for clarity and coherence.</t>
  </si>
  <si>
    <t>Submit Project Plan</t>
  </si>
  <si>
    <t>Protocol Registration</t>
  </si>
  <si>
    <t>Register Protocol</t>
  </si>
  <si>
    <t>Consider registering with PROSPERO</t>
  </si>
  <si>
    <t>Pilot Search Strategy</t>
  </si>
  <si>
    <t>Run test searches in a few databases</t>
  </si>
  <si>
    <t>Adjust terms as necessary</t>
  </si>
  <si>
    <t>Finalise Search Strategy</t>
  </si>
  <si>
    <t>Holiday</t>
  </si>
  <si>
    <t>Start Date</t>
  </si>
  <si>
    <t>End Date</t>
  </si>
  <si>
    <t>Semester 1 - Project Initiation and Planning</t>
  </si>
  <si>
    <t>Set up Workspace</t>
  </si>
  <si>
    <t>Create a plan for screening and managing data</t>
  </si>
  <si>
    <t>New Years Holiday</t>
  </si>
  <si>
    <t>Christmas Holiday</t>
  </si>
  <si>
    <t>Full Literature Search</t>
  </si>
  <si>
    <t>Begin full literature search</t>
  </si>
  <si>
    <t>Start with primary databases</t>
  </si>
  <si>
    <t>Continue Literature Search</t>
  </si>
  <si>
    <t>Save and organise search results</t>
  </si>
  <si>
    <t>Prepare for screening</t>
  </si>
  <si>
    <t>Remove duplicates in VS code using python</t>
  </si>
  <si>
    <t>Import unique papers to Zotero</t>
  </si>
  <si>
    <t>Semester 2 - Data Collection and Analysis</t>
  </si>
  <si>
    <t xml:space="preserve">Import unique papers to ASReview </t>
  </si>
  <si>
    <t>Begin title and abstract screening</t>
  </si>
  <si>
    <t>Apply inclusion/exclusion criteria</t>
  </si>
  <si>
    <t>Complete Title and Abstract Screening</t>
  </si>
  <si>
    <t>Resolve Uncertainties</t>
  </si>
  <si>
    <t>Document reasons for exclusions</t>
  </si>
  <si>
    <t>Title and Abstract Screening</t>
  </si>
  <si>
    <t>Full Text Screening</t>
  </si>
  <si>
    <t>Obtain full text articles</t>
  </si>
  <si>
    <t>Apply criteria fully</t>
  </si>
  <si>
    <t>Resolve Descrepancies</t>
  </si>
  <si>
    <t>Discuss with supervisor</t>
  </si>
  <si>
    <t>Finalise list of studies to include</t>
  </si>
  <si>
    <t>Today</t>
  </si>
  <si>
    <t>Update PRISMA flow diagram</t>
  </si>
  <si>
    <t>Data Extraction</t>
  </si>
  <si>
    <t>Begin Data Extraction</t>
  </si>
  <si>
    <t>Use prepared data extraction form in microsoft excel</t>
  </si>
  <si>
    <t>Quality Assessment</t>
  </si>
  <si>
    <t>Assess risk of bias</t>
  </si>
  <si>
    <t>Semester 3 - Data Synthesis and Writing</t>
  </si>
  <si>
    <t>Assess Heterogeneity</t>
  </si>
  <si>
    <t>Determine if meta-analysis is feasible</t>
  </si>
  <si>
    <t>Quantitative Analysis or narrative synthesis</t>
  </si>
  <si>
    <t>Data Synthesis and Analysis</t>
  </si>
  <si>
    <t>Conduct Meta-Analysis (if applicable)</t>
  </si>
  <si>
    <t>Develop narratie synthesis</t>
  </si>
  <si>
    <t>Identify themes and patterns</t>
  </si>
  <si>
    <t>Draft SPP Paper</t>
  </si>
  <si>
    <t>Introduction</t>
  </si>
  <si>
    <t>Methods</t>
  </si>
  <si>
    <t>Results</t>
  </si>
  <si>
    <t>Discussion</t>
  </si>
  <si>
    <t>Draft SPP Supplement</t>
  </si>
  <si>
    <t>Include supplementary analyses and additional tables</t>
  </si>
  <si>
    <t>Review and Revise Drafts</t>
  </si>
  <si>
    <t>Proofread and edit</t>
  </si>
  <si>
    <t>Prepare SPP Oral Presentation</t>
  </si>
  <si>
    <t>Develop slides for 20 minute presentation</t>
  </si>
  <si>
    <t>Record presentation</t>
  </si>
  <si>
    <t>Finalise all documents</t>
  </si>
  <si>
    <t>Check formatting and submission guidelines</t>
  </si>
  <si>
    <t>SPP Components</t>
  </si>
  <si>
    <t>START</t>
  </si>
  <si>
    <t>END</t>
  </si>
  <si>
    <t>TASK</t>
  </si>
  <si>
    <t>Project Start:</t>
  </si>
  <si>
    <t>Display Week:</t>
  </si>
  <si>
    <t>MSc Dissertation</t>
  </si>
  <si>
    <t>Complete searches in all planned databases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</si>
</sst>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"/>
  </numFmts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20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1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center"/>
    </xf>
    <xf numFmtId="0" fontId="2" fillId="2" borderId="0" xfId="0" applyFont="1" applyFill="1" applyAlignment="1">
      <alignment horizontal="center" vertical="center" shrinkToFit="1"/>
    </xf>
    <xf numFmtId="0" fontId="0" fillId="0" borderId="0" xfId="0" applyAlignment="1">
      <alignment vertical="center"/>
    </xf>
    <xf numFmtId="14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 shrinkToFit="1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14" fontId="2" fillId="2" borderId="0" xfId="0" applyNumberFormat="1" applyFont="1" applyFill="1" applyAlignment="1">
      <alignment horizontal="center" vertical="center" shrinkToFit="1"/>
    </xf>
    <xf numFmtId="164" fontId="0" fillId="3" borderId="6" xfId="0" applyNumberFormat="1" applyFill="1" applyBorder="1" applyAlignment="1">
      <alignment horizontal="center" vertical="center"/>
    </xf>
    <xf numFmtId="164" fontId="0" fillId="3" borderId="7" xfId="0" applyNumberFormat="1" applyFill="1" applyBorder="1" applyAlignment="1">
      <alignment horizontal="center" vertical="center"/>
    </xf>
    <xf numFmtId="164" fontId="0" fillId="3" borderId="8" xfId="0" applyNumberFormat="1" applyFill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15" fontId="1" fillId="0" borderId="9" xfId="0" applyNumberFormat="1" applyFont="1" applyBorder="1" applyAlignment="1">
      <alignment horizontal="center" vertical="center"/>
    </xf>
    <xf numFmtId="0" fontId="0" fillId="0" borderId="9" xfId="0" applyBorder="1" applyAlignment="1">
      <alignment vertical="center"/>
    </xf>
    <xf numFmtId="0" fontId="0" fillId="0" borderId="9" xfId="0" applyBorder="1" applyAlignment="1">
      <alignment horizontal="center" vertical="center"/>
    </xf>
    <xf numFmtId="0" fontId="1" fillId="0" borderId="9" xfId="0" applyFont="1" applyBorder="1" applyAlignment="1">
      <alignment horizontal="left" vertical="center" indent="1"/>
    </xf>
    <xf numFmtId="0" fontId="0" fillId="0" borderId="9" xfId="0" applyBorder="1" applyAlignment="1">
      <alignment horizontal="left" vertical="center" indent="2"/>
    </xf>
    <xf numFmtId="15" fontId="0" fillId="0" borderId="9" xfId="0" applyNumberFormat="1" applyBorder="1" applyAlignment="1">
      <alignment horizontal="center" vertical="center"/>
    </xf>
    <xf numFmtId="0" fontId="1" fillId="0" borderId="9" xfId="0" applyFont="1" applyBorder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left" vertical="center" indent="4"/>
    </xf>
    <xf numFmtId="15" fontId="0" fillId="3" borderId="3" xfId="0" applyNumberFormat="1" applyFill="1" applyBorder="1" applyAlignment="1">
      <alignment horizontal="center" vertical="center"/>
    </xf>
    <xf numFmtId="15" fontId="0" fillId="3" borderId="4" xfId="0" applyNumberFormat="1" applyFill="1" applyBorder="1" applyAlignment="1">
      <alignment horizontal="center" vertical="center"/>
    </xf>
    <xf numFmtId="15" fontId="0" fillId="3" borderId="5" xfId="0" applyNumberForma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</cellXfs>
  <cellStyles count="1">
    <cellStyle name="Normal" xfId="0" builtinId="0"/>
  </cellStyles>
  <dxfs count="2">
    <dxf>
      <font>
        <color auto="1"/>
      </font>
      <fill>
        <patternFill>
          <bgColor rgb="FF7030A0"/>
        </patternFill>
      </fill>
    </dxf>
    <dxf>
      <border>
        <left style="thin">
          <color rgb="FFFF0000"/>
        </left>
        <right style="thin">
          <color rgb="FFFF0000"/>
        </right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Scroll" dx="39" fmlaLink="$B$4" horiz="1" max="100" page="0" val="18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12700</xdr:colOff>
          <xdr:row>1</xdr:row>
          <xdr:rowOff>63500</xdr:rowOff>
        </xdr:from>
        <xdr:to>
          <xdr:col>25</xdr:col>
          <xdr:colOff>0</xdr:colOff>
          <xdr:row>2</xdr:row>
          <xdr:rowOff>177800</xdr:rowOff>
        </xdr:to>
        <xdr:sp macro="" textlink="">
          <xdr:nvSpPr>
            <xdr:cNvPr id="1026" name="Scroll Bar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E983E-0CEF-4628-A4A4-03219D146933}">
  <dimension ref="A1:AM94"/>
  <sheetViews>
    <sheetView showGridLines="0" tabSelected="1" zoomScaleNormal="100" workbookViewId="0">
      <pane ySplit="6" topLeftCell="A63" activePane="bottomLeft" state="frozen"/>
      <selection pane="bottomLeft" activeCell="X41" sqref="X41"/>
    </sheetView>
  </sheetViews>
  <sheetFormatPr baseColWidth="10" defaultColWidth="9" defaultRowHeight="15" x14ac:dyDescent="0.2"/>
  <cols>
    <col min="1" max="1" width="57" style="4" bestFit="1" customWidth="1"/>
    <col min="2" max="2" width="10" style="5" customWidth="1"/>
    <col min="3" max="3" width="10.6640625" style="5" customWidth="1"/>
    <col min="4" max="4" width="13.1640625" style="4" customWidth="1"/>
    <col min="5" max="11" width="3" style="2" customWidth="1"/>
    <col min="12" max="39" width="3" style="4" customWidth="1"/>
    <col min="40" max="16384" width="9" style="4"/>
  </cols>
  <sheetData>
    <row r="1" spans="1:39" x14ac:dyDescent="0.2">
      <c r="A1" s="26" t="s">
        <v>102</v>
      </c>
    </row>
    <row r="2" spans="1:39" x14ac:dyDescent="0.2">
      <c r="A2" s="26"/>
    </row>
    <row r="3" spans="1:39" x14ac:dyDescent="0.2">
      <c r="A3" s="8" t="s">
        <v>100</v>
      </c>
      <c r="B3" s="27">
        <v>45551</v>
      </c>
      <c r="C3" s="28"/>
    </row>
    <row r="4" spans="1:39" x14ac:dyDescent="0.2">
      <c r="A4" s="8" t="s">
        <v>101</v>
      </c>
      <c r="B4" s="29">
        <v>18</v>
      </c>
      <c r="C4" s="30"/>
      <c r="E4" s="23">
        <f>E5</f>
        <v>45670</v>
      </c>
      <c r="F4" s="24"/>
      <c r="G4" s="24"/>
      <c r="H4" s="24"/>
      <c r="I4" s="24"/>
      <c r="J4" s="24"/>
      <c r="K4" s="25"/>
      <c r="L4" s="23">
        <f t="shared" ref="L4" si="0">L5</f>
        <v>45677</v>
      </c>
      <c r="M4" s="24"/>
      <c r="N4" s="24"/>
      <c r="O4" s="24"/>
      <c r="P4" s="24"/>
      <c r="Q4" s="24"/>
      <c r="R4" s="25"/>
      <c r="S4" s="23">
        <f t="shared" ref="S4" si="1">S5</f>
        <v>45684</v>
      </c>
      <c r="T4" s="24"/>
      <c r="U4" s="24"/>
      <c r="V4" s="24"/>
      <c r="W4" s="24"/>
      <c r="X4" s="24"/>
      <c r="Y4" s="25"/>
      <c r="Z4" s="23">
        <f t="shared" ref="Z4" si="2">Z5</f>
        <v>45691</v>
      </c>
      <c r="AA4" s="24"/>
      <c r="AB4" s="24"/>
      <c r="AC4" s="24"/>
      <c r="AD4" s="24"/>
      <c r="AE4" s="24"/>
      <c r="AF4" s="25"/>
      <c r="AG4" s="23">
        <f t="shared" ref="AG4" si="3">AG5</f>
        <v>45698</v>
      </c>
      <c r="AH4" s="24"/>
      <c r="AI4" s="24"/>
      <c r="AJ4" s="24"/>
      <c r="AK4" s="24"/>
      <c r="AL4" s="24"/>
      <c r="AM4" s="25"/>
    </row>
    <row r="5" spans="1:39" x14ac:dyDescent="0.2">
      <c r="B5" s="5" t="s">
        <v>67</v>
      </c>
      <c r="C5" s="5">
        <f ca="1">TODAY()</f>
        <v>45694</v>
      </c>
      <c r="E5" s="10">
        <f>B3-WEEKDAY(project_start,3)+(display_week-1)*7</f>
        <v>45670</v>
      </c>
      <c r="F5" s="11">
        <f>E5+1</f>
        <v>45671</v>
      </c>
      <c r="G5" s="11">
        <f t="shared" ref="G5:Y5" si="4">F5+1</f>
        <v>45672</v>
      </c>
      <c r="H5" s="11">
        <f t="shared" si="4"/>
        <v>45673</v>
      </c>
      <c r="I5" s="11">
        <f t="shared" si="4"/>
        <v>45674</v>
      </c>
      <c r="J5" s="11">
        <f t="shared" si="4"/>
        <v>45675</v>
      </c>
      <c r="K5" s="12">
        <f t="shared" si="4"/>
        <v>45676</v>
      </c>
      <c r="L5" s="10">
        <f t="shared" si="4"/>
        <v>45677</v>
      </c>
      <c r="M5" s="11">
        <f t="shared" si="4"/>
        <v>45678</v>
      </c>
      <c r="N5" s="11">
        <f t="shared" si="4"/>
        <v>45679</v>
      </c>
      <c r="O5" s="11">
        <f t="shared" si="4"/>
        <v>45680</v>
      </c>
      <c r="P5" s="11">
        <f t="shared" si="4"/>
        <v>45681</v>
      </c>
      <c r="Q5" s="11">
        <f t="shared" si="4"/>
        <v>45682</v>
      </c>
      <c r="R5" s="12">
        <f t="shared" si="4"/>
        <v>45683</v>
      </c>
      <c r="S5" s="10">
        <f t="shared" si="4"/>
        <v>45684</v>
      </c>
      <c r="T5" s="11">
        <f t="shared" si="4"/>
        <v>45685</v>
      </c>
      <c r="U5" s="11">
        <f t="shared" si="4"/>
        <v>45686</v>
      </c>
      <c r="V5" s="11">
        <f t="shared" si="4"/>
        <v>45687</v>
      </c>
      <c r="W5" s="11">
        <f t="shared" si="4"/>
        <v>45688</v>
      </c>
      <c r="X5" s="11">
        <f t="shared" si="4"/>
        <v>45689</v>
      </c>
      <c r="Y5" s="12">
        <f t="shared" si="4"/>
        <v>45690</v>
      </c>
      <c r="Z5" s="10">
        <f t="shared" ref="Z5:AM5" si="5">Y5+1</f>
        <v>45691</v>
      </c>
      <c r="AA5" s="11">
        <f t="shared" si="5"/>
        <v>45692</v>
      </c>
      <c r="AB5" s="11">
        <f t="shared" si="5"/>
        <v>45693</v>
      </c>
      <c r="AC5" s="11">
        <f t="shared" si="5"/>
        <v>45694</v>
      </c>
      <c r="AD5" s="11">
        <f t="shared" si="5"/>
        <v>45695</v>
      </c>
      <c r="AE5" s="11">
        <f t="shared" si="5"/>
        <v>45696</v>
      </c>
      <c r="AF5" s="12">
        <f t="shared" si="5"/>
        <v>45697</v>
      </c>
      <c r="AG5" s="10">
        <f t="shared" si="5"/>
        <v>45698</v>
      </c>
      <c r="AH5" s="11">
        <f t="shared" si="5"/>
        <v>45699</v>
      </c>
      <c r="AI5" s="11">
        <f t="shared" si="5"/>
        <v>45700</v>
      </c>
      <c r="AJ5" s="11">
        <f t="shared" si="5"/>
        <v>45701</v>
      </c>
      <c r="AK5" s="11">
        <f t="shared" si="5"/>
        <v>45702</v>
      </c>
      <c r="AL5" s="11">
        <f t="shared" si="5"/>
        <v>45703</v>
      </c>
      <c r="AM5" s="12">
        <f t="shared" si="5"/>
        <v>45704</v>
      </c>
    </row>
    <row r="6" spans="1:39" x14ac:dyDescent="0.2">
      <c r="A6" s="3" t="s">
        <v>99</v>
      </c>
      <c r="B6" s="9" t="s">
        <v>97</v>
      </c>
      <c r="C6" s="9" t="s">
        <v>98</v>
      </c>
      <c r="D6" s="6"/>
      <c r="E6" s="3" t="str">
        <f>LEFT(TEXT(E5, "ddd"), 1)</f>
        <v>M</v>
      </c>
      <c r="F6" s="3" t="str">
        <f t="shared" ref="F6:L6" si="6">LEFT(TEXT(F5, "ddd"), 1)</f>
        <v>T</v>
      </c>
      <c r="G6" s="3" t="str">
        <f t="shared" si="6"/>
        <v>W</v>
      </c>
      <c r="H6" s="3" t="str">
        <f t="shared" si="6"/>
        <v>T</v>
      </c>
      <c r="I6" s="3" t="str">
        <f t="shared" si="6"/>
        <v>F</v>
      </c>
      <c r="J6" s="3" t="str">
        <f t="shared" si="6"/>
        <v>S</v>
      </c>
      <c r="K6" s="3" t="str">
        <f t="shared" si="6"/>
        <v>S</v>
      </c>
      <c r="L6" s="3" t="str">
        <f t="shared" si="6"/>
        <v>M</v>
      </c>
      <c r="M6" s="3" t="str">
        <f t="shared" ref="M6" si="7">LEFT(TEXT(M5, "ddd"), 1)</f>
        <v>T</v>
      </c>
      <c r="N6" s="3" t="str">
        <f t="shared" ref="N6" si="8">LEFT(TEXT(N5, "ddd"), 1)</f>
        <v>W</v>
      </c>
      <c r="O6" s="3" t="str">
        <f t="shared" ref="O6" si="9">LEFT(TEXT(O5, "ddd"), 1)</f>
        <v>T</v>
      </c>
      <c r="P6" s="3" t="str">
        <f t="shared" ref="P6" si="10">LEFT(TEXT(P5, "ddd"), 1)</f>
        <v>F</v>
      </c>
      <c r="Q6" s="3" t="str">
        <f t="shared" ref="Q6" si="11">LEFT(TEXT(Q5, "ddd"), 1)</f>
        <v>S</v>
      </c>
      <c r="R6" s="3" t="str">
        <f t="shared" ref="R6:S6" si="12">LEFT(TEXT(R5, "ddd"), 1)</f>
        <v>S</v>
      </c>
      <c r="S6" s="3" t="str">
        <f t="shared" si="12"/>
        <v>M</v>
      </c>
      <c r="T6" s="3" t="str">
        <f t="shared" ref="T6" si="13">LEFT(TEXT(T5, "ddd"), 1)</f>
        <v>T</v>
      </c>
      <c r="U6" s="3" t="str">
        <f t="shared" ref="U6" si="14">LEFT(TEXT(U5, "ddd"), 1)</f>
        <v>W</v>
      </c>
      <c r="V6" s="3" t="str">
        <f t="shared" ref="V6" si="15">LEFT(TEXT(V5, "ddd"), 1)</f>
        <v>T</v>
      </c>
      <c r="W6" s="3" t="str">
        <f t="shared" ref="W6" si="16">LEFT(TEXT(W5, "ddd"), 1)</f>
        <v>F</v>
      </c>
      <c r="X6" s="3" t="str">
        <f t="shared" ref="X6" si="17">LEFT(TEXT(X5, "ddd"), 1)</f>
        <v>S</v>
      </c>
      <c r="Y6" s="3" t="str">
        <f t="shared" ref="Y6" si="18">LEFT(TEXT(Y5, "ddd"), 1)</f>
        <v>S</v>
      </c>
      <c r="Z6" s="3" t="str">
        <f t="shared" ref="Z6" si="19">LEFT(TEXT(Z5, "ddd"), 1)</f>
        <v>M</v>
      </c>
      <c r="AA6" s="3" t="str">
        <f t="shared" ref="AA6" si="20">LEFT(TEXT(AA5, "ddd"), 1)</f>
        <v>T</v>
      </c>
      <c r="AB6" s="3" t="str">
        <f t="shared" ref="AB6" si="21">LEFT(TEXT(AB5, "ddd"), 1)</f>
        <v>W</v>
      </c>
      <c r="AC6" s="3" t="str">
        <f t="shared" ref="AC6" si="22">LEFT(TEXT(AC5, "ddd"), 1)</f>
        <v>T</v>
      </c>
      <c r="AD6" s="3" t="str">
        <f t="shared" ref="AD6" si="23">LEFT(TEXT(AD5, "ddd"), 1)</f>
        <v>F</v>
      </c>
      <c r="AE6" s="3" t="str">
        <f t="shared" ref="AE6" si="24">LEFT(TEXT(AE5, "ddd"), 1)</f>
        <v>S</v>
      </c>
      <c r="AF6" s="3" t="str">
        <f t="shared" ref="AF6" si="25">LEFT(TEXT(AF5, "ddd"), 1)</f>
        <v>S</v>
      </c>
      <c r="AG6" s="3" t="str">
        <f t="shared" ref="AG6" si="26">LEFT(TEXT(AG5, "ddd"), 1)</f>
        <v>M</v>
      </c>
      <c r="AH6" s="3" t="str">
        <f t="shared" ref="AH6" si="27">LEFT(TEXT(AH5, "ddd"), 1)</f>
        <v>T</v>
      </c>
      <c r="AI6" s="3" t="str">
        <f t="shared" ref="AI6" si="28">LEFT(TEXT(AI5, "ddd"), 1)</f>
        <v>W</v>
      </c>
      <c r="AJ6" s="3" t="str">
        <f t="shared" ref="AJ6" si="29">LEFT(TEXT(AJ5, "ddd"), 1)</f>
        <v>T</v>
      </c>
      <c r="AK6" s="3" t="str">
        <f t="shared" ref="AK6" si="30">LEFT(TEXT(AK5, "ddd"), 1)</f>
        <v>F</v>
      </c>
      <c r="AL6" s="3" t="str">
        <f t="shared" ref="AL6" si="31">LEFT(TEXT(AL5, "ddd"), 1)</f>
        <v>S</v>
      </c>
      <c r="AM6" s="3" t="str">
        <f t="shared" ref="AM6" si="32">LEFT(TEXT(AM5, "ddd"), 1)</f>
        <v>S</v>
      </c>
    </row>
    <row r="7" spans="1:39" x14ac:dyDescent="0.2">
      <c r="A7" s="13" t="s">
        <v>40</v>
      </c>
      <c r="B7" s="14">
        <v>45579</v>
      </c>
      <c r="C7" s="14">
        <v>45586</v>
      </c>
      <c r="D7" s="15"/>
      <c r="E7" s="16"/>
      <c r="F7" s="16"/>
      <c r="G7" s="16"/>
      <c r="H7" s="16"/>
      <c r="I7" s="16"/>
      <c r="J7" s="16"/>
      <c r="K7" s="16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5"/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</row>
    <row r="8" spans="1:39" x14ac:dyDescent="0.2">
      <c r="A8" s="17" t="s">
        <v>0</v>
      </c>
      <c r="B8" s="14">
        <v>45579</v>
      </c>
      <c r="C8" s="14">
        <v>45585</v>
      </c>
      <c r="D8" s="15"/>
      <c r="E8" s="16"/>
      <c r="F8" s="16"/>
      <c r="G8" s="16"/>
      <c r="H8" s="16"/>
      <c r="I8" s="16"/>
      <c r="J8" s="16"/>
      <c r="K8" s="16"/>
      <c r="L8" s="15"/>
      <c r="M8" s="15"/>
      <c r="N8" s="15"/>
      <c r="O8" s="15"/>
      <c r="P8" s="15"/>
      <c r="Q8" s="15"/>
      <c r="R8" s="15"/>
      <c r="S8" s="15"/>
      <c r="T8" s="15"/>
      <c r="U8" s="15"/>
      <c r="V8" s="15"/>
      <c r="W8" s="15"/>
      <c r="X8" s="15"/>
      <c r="Y8" s="15"/>
      <c r="Z8" s="15"/>
      <c r="AA8" s="15"/>
      <c r="AB8" s="15"/>
      <c r="AC8" s="15"/>
      <c r="AD8" s="15"/>
      <c r="AE8" s="15"/>
      <c r="AF8" s="15"/>
      <c r="AG8" s="15"/>
      <c r="AH8" s="15"/>
      <c r="AI8" s="15"/>
      <c r="AJ8" s="15"/>
      <c r="AK8" s="15"/>
      <c r="AL8" s="15"/>
      <c r="AM8" s="15"/>
    </row>
    <row r="9" spans="1:39" x14ac:dyDescent="0.2">
      <c r="A9" s="18" t="s">
        <v>1</v>
      </c>
      <c r="B9" s="19">
        <v>45579</v>
      </c>
      <c r="C9" s="19">
        <v>45585</v>
      </c>
      <c r="D9" s="15"/>
      <c r="E9" s="16"/>
      <c r="F9" s="16"/>
      <c r="G9" s="16"/>
      <c r="H9" s="16"/>
      <c r="I9" s="16"/>
      <c r="J9" s="16"/>
      <c r="K9" s="16"/>
      <c r="L9" s="15"/>
      <c r="M9" s="15"/>
      <c r="N9" s="15"/>
      <c r="O9" s="15"/>
      <c r="P9" s="15"/>
      <c r="Q9" s="15"/>
      <c r="R9" s="15"/>
      <c r="S9" s="15"/>
      <c r="T9" s="15"/>
      <c r="U9" s="15"/>
      <c r="V9" s="15"/>
      <c r="W9" s="15"/>
      <c r="X9" s="15"/>
      <c r="Y9" s="15"/>
      <c r="Z9" s="15"/>
      <c r="AA9" s="15"/>
      <c r="AB9" s="15"/>
      <c r="AC9" s="15"/>
      <c r="AD9" s="15"/>
      <c r="AE9" s="15"/>
      <c r="AF9" s="15"/>
      <c r="AG9" s="15"/>
      <c r="AH9" s="15"/>
      <c r="AI9" s="15"/>
      <c r="AJ9" s="15"/>
      <c r="AK9" s="15"/>
      <c r="AL9" s="15"/>
      <c r="AM9" s="15"/>
    </row>
    <row r="10" spans="1:39" x14ac:dyDescent="0.2">
      <c r="A10" s="18" t="s">
        <v>2</v>
      </c>
      <c r="B10" s="19">
        <v>45579</v>
      </c>
      <c r="C10" s="19">
        <v>45585</v>
      </c>
      <c r="D10" s="15"/>
      <c r="E10" s="16"/>
      <c r="F10" s="16"/>
      <c r="G10" s="16"/>
      <c r="H10" s="16"/>
      <c r="I10" s="16"/>
      <c r="J10" s="16"/>
      <c r="K10" s="16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5"/>
      <c r="AI10" s="15"/>
      <c r="AJ10" s="15"/>
      <c r="AK10" s="15"/>
      <c r="AL10" s="15"/>
      <c r="AM10" s="15"/>
    </row>
    <row r="11" spans="1:39" x14ac:dyDescent="0.2">
      <c r="A11" s="17" t="s">
        <v>41</v>
      </c>
      <c r="B11" s="14">
        <v>45579</v>
      </c>
      <c r="C11" s="14">
        <v>45585</v>
      </c>
      <c r="D11" s="15"/>
      <c r="E11" s="16"/>
      <c r="F11" s="16"/>
      <c r="G11" s="16"/>
      <c r="H11" s="16"/>
      <c r="I11" s="16"/>
      <c r="J11" s="16"/>
      <c r="K11" s="16"/>
      <c r="L11" s="15"/>
      <c r="M11" s="15"/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  <c r="AA11" s="15"/>
      <c r="AB11" s="15"/>
      <c r="AC11" s="15"/>
      <c r="AD11" s="15"/>
      <c r="AE11" s="15"/>
      <c r="AF11" s="15"/>
      <c r="AG11" s="15"/>
      <c r="AH11" s="15"/>
      <c r="AI11" s="15"/>
      <c r="AJ11" s="15"/>
      <c r="AK11" s="15"/>
      <c r="AL11" s="15"/>
      <c r="AM11" s="15"/>
    </row>
    <row r="12" spans="1:39" x14ac:dyDescent="0.2">
      <c r="A12" s="18" t="s">
        <v>3</v>
      </c>
      <c r="B12" s="19">
        <v>45579</v>
      </c>
      <c r="C12" s="19">
        <v>45585</v>
      </c>
      <c r="D12" s="15"/>
      <c r="E12" s="16"/>
      <c r="F12" s="16"/>
      <c r="G12" s="16"/>
      <c r="H12" s="16"/>
      <c r="I12" s="16"/>
      <c r="J12" s="16"/>
      <c r="K12" s="16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  <c r="AA12" s="15"/>
      <c r="AB12" s="15"/>
      <c r="AC12" s="15"/>
      <c r="AD12" s="15"/>
      <c r="AE12" s="15"/>
      <c r="AF12" s="15"/>
      <c r="AG12" s="15"/>
      <c r="AH12" s="15"/>
      <c r="AI12" s="15"/>
      <c r="AJ12" s="15"/>
      <c r="AK12" s="15"/>
      <c r="AL12" s="15"/>
      <c r="AM12" s="15"/>
    </row>
    <row r="13" spans="1:39" x14ac:dyDescent="0.2">
      <c r="A13" s="18" t="s">
        <v>4</v>
      </c>
      <c r="B13" s="19">
        <v>45579</v>
      </c>
      <c r="C13" s="19">
        <v>45585</v>
      </c>
      <c r="D13" s="15"/>
      <c r="E13" s="16"/>
      <c r="F13" s="16"/>
      <c r="G13" s="16"/>
      <c r="H13" s="16"/>
      <c r="I13" s="16"/>
      <c r="J13" s="16"/>
      <c r="K13" s="16"/>
      <c r="L13" s="15"/>
      <c r="M13" s="15"/>
      <c r="N13" s="15"/>
      <c r="O13" s="15"/>
      <c r="P13" s="15"/>
      <c r="Q13" s="15"/>
      <c r="R13" s="15"/>
      <c r="S13" s="15"/>
      <c r="T13" s="15"/>
      <c r="U13" s="15"/>
      <c r="V13" s="15"/>
      <c r="W13" s="15"/>
      <c r="X13" s="15"/>
      <c r="Y13" s="15"/>
      <c r="Z13" s="15"/>
      <c r="AA13" s="15"/>
      <c r="AB13" s="15"/>
      <c r="AC13" s="15"/>
      <c r="AD13" s="15"/>
      <c r="AE13" s="15"/>
      <c r="AF13" s="15"/>
      <c r="AG13" s="15"/>
      <c r="AH13" s="15"/>
      <c r="AI13" s="15"/>
      <c r="AJ13" s="15"/>
      <c r="AK13" s="15"/>
      <c r="AL13" s="15"/>
      <c r="AM13" s="15"/>
    </row>
    <row r="14" spans="1:39" x14ac:dyDescent="0.2">
      <c r="A14" s="17" t="s">
        <v>15</v>
      </c>
      <c r="B14" s="14">
        <v>45586</v>
      </c>
      <c r="C14" s="14">
        <v>45592</v>
      </c>
      <c r="D14" s="15"/>
      <c r="E14" s="16"/>
      <c r="F14" s="16"/>
      <c r="G14" s="16"/>
      <c r="H14" s="16"/>
      <c r="I14" s="16"/>
      <c r="J14" s="16"/>
      <c r="K14" s="16"/>
      <c r="L14" s="15"/>
      <c r="M14" s="15"/>
      <c r="N14" s="15"/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</row>
    <row r="15" spans="1:39" x14ac:dyDescent="0.2">
      <c r="A15" s="18" t="s">
        <v>7</v>
      </c>
      <c r="B15" s="19">
        <v>45586</v>
      </c>
      <c r="C15" s="19">
        <v>45592</v>
      </c>
      <c r="D15" s="15"/>
      <c r="E15" s="16"/>
      <c r="F15" s="16"/>
      <c r="G15" s="16"/>
      <c r="H15" s="16"/>
      <c r="I15" s="16"/>
      <c r="J15" s="16"/>
      <c r="K15" s="16"/>
      <c r="L15" s="15"/>
      <c r="M15" s="15"/>
      <c r="N15" s="15"/>
      <c r="O15" s="15"/>
      <c r="P15" s="15"/>
      <c r="Q15" s="15"/>
      <c r="R15" s="15"/>
      <c r="S15" s="15"/>
      <c r="T15" s="15"/>
      <c r="U15" s="15"/>
      <c r="V15" s="15"/>
      <c r="W15" s="15"/>
      <c r="X15" s="15"/>
      <c r="Y15" s="15"/>
      <c r="Z15" s="15"/>
      <c r="AA15" s="15"/>
      <c r="AB15" s="15"/>
      <c r="AC15" s="15"/>
      <c r="AD15" s="15"/>
      <c r="AE15" s="15"/>
      <c r="AF15" s="15"/>
      <c r="AG15" s="15"/>
      <c r="AH15" s="15"/>
      <c r="AI15" s="15"/>
      <c r="AJ15" s="15"/>
      <c r="AK15" s="15"/>
      <c r="AL15" s="15"/>
      <c r="AM15" s="15"/>
    </row>
    <row r="16" spans="1:39" x14ac:dyDescent="0.2">
      <c r="A16" s="18" t="s">
        <v>8</v>
      </c>
      <c r="B16" s="19">
        <v>45586</v>
      </c>
      <c r="C16" s="19">
        <v>45592</v>
      </c>
      <c r="D16" s="15"/>
      <c r="E16" s="16"/>
      <c r="F16" s="16"/>
      <c r="G16" s="16"/>
      <c r="H16" s="16"/>
      <c r="I16" s="16"/>
      <c r="J16" s="16"/>
      <c r="K16" s="16"/>
      <c r="L16" s="15"/>
      <c r="M16" s="15"/>
      <c r="N16" s="15"/>
      <c r="O16" s="15"/>
      <c r="P16" s="15"/>
      <c r="Q16" s="15"/>
      <c r="R16" s="15"/>
      <c r="S16" s="15"/>
      <c r="T16" s="15"/>
      <c r="U16" s="15"/>
      <c r="V16" s="15"/>
      <c r="W16" s="15"/>
      <c r="X16" s="15"/>
      <c r="Y16" s="15"/>
      <c r="Z16" s="15"/>
      <c r="AA16" s="15"/>
      <c r="AB16" s="15"/>
      <c r="AC16" s="15"/>
      <c r="AD16" s="15"/>
      <c r="AE16" s="15"/>
      <c r="AF16" s="15"/>
      <c r="AG16" s="15"/>
      <c r="AH16" s="15"/>
      <c r="AI16" s="15"/>
      <c r="AJ16" s="15"/>
      <c r="AK16" s="15"/>
      <c r="AL16" s="15"/>
      <c r="AM16" s="15"/>
    </row>
    <row r="17" spans="1:39" x14ac:dyDescent="0.2">
      <c r="A17" s="18" t="s">
        <v>16</v>
      </c>
      <c r="B17" s="19">
        <v>45586</v>
      </c>
      <c r="C17" s="19">
        <v>45592</v>
      </c>
      <c r="D17" s="15"/>
      <c r="E17" s="16"/>
      <c r="F17" s="16"/>
      <c r="G17" s="16"/>
      <c r="H17" s="16"/>
      <c r="I17" s="16"/>
      <c r="J17" s="16"/>
      <c r="K17" s="16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  <c r="X17" s="15"/>
      <c r="Y17" s="15"/>
      <c r="Z17" s="15"/>
      <c r="AA17" s="15"/>
      <c r="AB17" s="15"/>
      <c r="AC17" s="15"/>
      <c r="AD17" s="15"/>
      <c r="AE17" s="15"/>
      <c r="AF17" s="15"/>
      <c r="AG17" s="15"/>
      <c r="AH17" s="15"/>
      <c r="AI17" s="15"/>
      <c r="AJ17" s="15"/>
      <c r="AK17" s="15"/>
      <c r="AL17" s="15"/>
      <c r="AM17" s="15"/>
    </row>
    <row r="18" spans="1:39" x14ac:dyDescent="0.2">
      <c r="A18" s="17" t="s">
        <v>5</v>
      </c>
      <c r="B18" s="14">
        <v>45588</v>
      </c>
      <c r="C18" s="14">
        <v>45606</v>
      </c>
      <c r="D18" s="15"/>
      <c r="E18" s="16"/>
      <c r="F18" s="16"/>
      <c r="G18" s="16"/>
      <c r="H18" s="16"/>
      <c r="I18" s="16"/>
      <c r="J18" s="16"/>
      <c r="K18" s="16"/>
      <c r="L18" s="15"/>
      <c r="M18" s="15"/>
      <c r="N18" s="15"/>
      <c r="O18" s="15"/>
      <c r="P18" s="15"/>
      <c r="Q18" s="15"/>
      <c r="R18" s="15"/>
      <c r="S18" s="15"/>
      <c r="T18" s="15"/>
      <c r="U18" s="15"/>
      <c r="V18" s="15"/>
      <c r="W18" s="15"/>
      <c r="X18" s="15"/>
      <c r="Y18" s="15"/>
      <c r="Z18" s="15"/>
      <c r="AA18" s="15"/>
      <c r="AB18" s="15"/>
      <c r="AC18" s="15"/>
      <c r="AD18" s="15"/>
      <c r="AE18" s="15"/>
      <c r="AF18" s="15"/>
      <c r="AG18" s="15"/>
      <c r="AH18" s="15"/>
      <c r="AI18" s="15"/>
      <c r="AJ18" s="15"/>
      <c r="AK18" s="15"/>
      <c r="AL18" s="15"/>
      <c r="AM18" s="15"/>
    </row>
    <row r="19" spans="1:39" x14ac:dyDescent="0.2">
      <c r="A19" s="18" t="s">
        <v>6</v>
      </c>
      <c r="B19" s="19">
        <v>45606</v>
      </c>
      <c r="C19" s="19">
        <v>45607</v>
      </c>
      <c r="D19" s="15"/>
      <c r="E19" s="16"/>
      <c r="F19" s="16"/>
      <c r="G19" s="16"/>
      <c r="H19" s="16"/>
      <c r="I19" s="16"/>
      <c r="J19" s="16"/>
      <c r="K19" s="16"/>
      <c r="L19" s="15"/>
      <c r="M19" s="15"/>
      <c r="N19" s="15"/>
      <c r="O19" s="15"/>
      <c r="P19" s="15"/>
      <c r="Q19" s="15"/>
      <c r="R19" s="15"/>
      <c r="S19" s="15"/>
      <c r="T19" s="15"/>
      <c r="U19" s="15"/>
      <c r="V19" s="15"/>
      <c r="W19" s="15"/>
      <c r="X19" s="15"/>
      <c r="Y19" s="15"/>
      <c r="Z19" s="15"/>
      <c r="AA19" s="15"/>
      <c r="AB19" s="15"/>
      <c r="AC19" s="15"/>
      <c r="AD19" s="15"/>
      <c r="AE19" s="15"/>
      <c r="AF19" s="15"/>
      <c r="AG19" s="15"/>
      <c r="AH19" s="15"/>
      <c r="AI19" s="15"/>
      <c r="AJ19" s="15"/>
      <c r="AK19" s="15"/>
      <c r="AL19" s="15"/>
      <c r="AM19" s="15"/>
    </row>
    <row r="20" spans="1:39" x14ac:dyDescent="0.2">
      <c r="A20" s="17" t="s">
        <v>12</v>
      </c>
      <c r="B20" s="14">
        <v>45607</v>
      </c>
      <c r="C20" s="14">
        <v>45608</v>
      </c>
      <c r="D20" s="15"/>
      <c r="E20" s="16"/>
      <c r="F20" s="16"/>
      <c r="G20" s="16"/>
      <c r="H20" s="16"/>
      <c r="I20" s="16"/>
      <c r="J20" s="16"/>
      <c r="K20" s="16"/>
      <c r="L20" s="15"/>
      <c r="M20" s="15"/>
      <c r="N20" s="15"/>
      <c r="O20" s="15"/>
      <c r="P20" s="15"/>
      <c r="Q20" s="15"/>
      <c r="R20" s="15"/>
      <c r="S20" s="15"/>
      <c r="T20" s="15"/>
      <c r="U20" s="15"/>
      <c r="V20" s="15"/>
      <c r="W20" s="15"/>
      <c r="X20" s="15"/>
      <c r="Y20" s="15"/>
      <c r="Z20" s="15"/>
      <c r="AA20" s="15"/>
      <c r="AB20" s="15"/>
      <c r="AC20" s="15"/>
      <c r="AD20" s="15"/>
      <c r="AE20" s="15"/>
      <c r="AF20" s="15"/>
      <c r="AG20" s="15"/>
      <c r="AH20" s="15"/>
      <c r="AI20" s="15"/>
      <c r="AJ20" s="15"/>
      <c r="AK20" s="15"/>
      <c r="AL20" s="15"/>
      <c r="AM20" s="15"/>
    </row>
    <row r="21" spans="1:39" x14ac:dyDescent="0.2">
      <c r="A21" s="18" t="s">
        <v>13</v>
      </c>
      <c r="B21" s="19">
        <v>45607</v>
      </c>
      <c r="C21" s="19">
        <v>45608</v>
      </c>
      <c r="D21" s="15"/>
      <c r="E21" s="16"/>
      <c r="F21" s="16"/>
      <c r="G21" s="16"/>
      <c r="H21" s="16"/>
      <c r="I21" s="16"/>
      <c r="J21" s="16"/>
      <c r="K21" s="16"/>
      <c r="L21" s="15"/>
      <c r="M21" s="15"/>
      <c r="N21" s="15"/>
      <c r="O21" s="15"/>
      <c r="P21" s="15"/>
      <c r="Q21" s="15"/>
      <c r="R21" s="15"/>
      <c r="S21" s="15"/>
      <c r="T21" s="15"/>
      <c r="U21" s="15"/>
      <c r="V21" s="15"/>
      <c r="W21" s="15"/>
      <c r="X21" s="15"/>
      <c r="Y21" s="15"/>
      <c r="Z21" s="15"/>
      <c r="AA21" s="15"/>
      <c r="AB21" s="15"/>
      <c r="AC21" s="15"/>
      <c r="AD21" s="15"/>
      <c r="AE21" s="15"/>
      <c r="AF21" s="15"/>
      <c r="AG21" s="15"/>
      <c r="AH21" s="15"/>
      <c r="AI21" s="15"/>
      <c r="AJ21" s="15"/>
      <c r="AK21" s="15"/>
      <c r="AL21" s="15"/>
      <c r="AM21" s="15"/>
    </row>
    <row r="22" spans="1:39" x14ac:dyDescent="0.2">
      <c r="A22" s="18" t="s">
        <v>14</v>
      </c>
      <c r="B22" s="19">
        <v>45607</v>
      </c>
      <c r="C22" s="19">
        <v>45608</v>
      </c>
      <c r="D22" s="15"/>
      <c r="E22" s="16"/>
      <c r="F22" s="16"/>
      <c r="G22" s="16"/>
      <c r="H22" s="16"/>
      <c r="I22" s="16"/>
      <c r="J22" s="16"/>
      <c r="K22" s="16"/>
      <c r="L22" s="15"/>
      <c r="M22" s="15"/>
      <c r="N22" s="15"/>
      <c r="O22" s="15"/>
      <c r="P22" s="15"/>
      <c r="Q22" s="15"/>
      <c r="R22" s="15"/>
      <c r="S22" s="15"/>
      <c r="T22" s="15"/>
      <c r="U22" s="15"/>
      <c r="V22" s="15"/>
      <c r="W22" s="15"/>
      <c r="X22" s="15"/>
      <c r="Y22" s="15"/>
      <c r="Z22" s="15"/>
      <c r="AA22" s="15"/>
      <c r="AB22" s="15"/>
      <c r="AC22" s="15"/>
      <c r="AD22" s="15"/>
      <c r="AE22" s="15"/>
      <c r="AF22" s="15"/>
      <c r="AG22" s="15"/>
      <c r="AH22" s="15"/>
      <c r="AI22" s="15"/>
      <c r="AJ22" s="15"/>
      <c r="AK22" s="15"/>
      <c r="AL22" s="15"/>
      <c r="AM22" s="15"/>
    </row>
    <row r="23" spans="1:39" x14ac:dyDescent="0.2">
      <c r="A23" s="18" t="s">
        <v>17</v>
      </c>
      <c r="B23" s="19">
        <v>45607</v>
      </c>
      <c r="C23" s="19">
        <v>45608</v>
      </c>
      <c r="D23" s="15"/>
      <c r="E23" s="16"/>
      <c r="F23" s="16"/>
      <c r="G23" s="16"/>
      <c r="H23" s="16"/>
      <c r="I23" s="16"/>
      <c r="J23" s="16"/>
      <c r="K23" s="16"/>
      <c r="L23" s="15"/>
      <c r="M23" s="15"/>
      <c r="N23" s="15"/>
      <c r="O23" s="15"/>
      <c r="P23" s="15"/>
      <c r="Q23" s="15"/>
      <c r="R23" s="15"/>
      <c r="S23" s="15"/>
      <c r="T23" s="15"/>
      <c r="U23" s="15"/>
      <c r="V23" s="15"/>
      <c r="W23" s="15"/>
      <c r="X23" s="15"/>
      <c r="Y23" s="15"/>
      <c r="Z23" s="15"/>
      <c r="AA23" s="15"/>
      <c r="AB23" s="15"/>
      <c r="AC23" s="15"/>
      <c r="AD23" s="15"/>
      <c r="AE23" s="15"/>
      <c r="AF23" s="15"/>
      <c r="AG23" s="15"/>
      <c r="AH23" s="15"/>
      <c r="AI23" s="15"/>
      <c r="AJ23" s="15"/>
      <c r="AK23" s="15"/>
      <c r="AL23" s="15"/>
      <c r="AM23" s="15"/>
    </row>
    <row r="24" spans="1:39" x14ac:dyDescent="0.2">
      <c r="A24" s="17" t="s">
        <v>18</v>
      </c>
      <c r="B24" s="14">
        <v>45608</v>
      </c>
      <c r="C24" s="14">
        <v>45613</v>
      </c>
      <c r="D24" s="15"/>
      <c r="E24" s="16"/>
      <c r="F24" s="16"/>
      <c r="G24" s="16"/>
      <c r="H24" s="16"/>
      <c r="I24" s="16"/>
      <c r="J24" s="16"/>
      <c r="K24" s="16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</row>
    <row r="25" spans="1:39" x14ac:dyDescent="0.2">
      <c r="A25" s="18" t="s">
        <v>19</v>
      </c>
      <c r="B25" s="19">
        <v>45608</v>
      </c>
      <c r="C25" s="19">
        <v>45613</v>
      </c>
      <c r="D25" s="15"/>
      <c r="E25" s="16"/>
      <c r="F25" s="16"/>
      <c r="G25" s="16"/>
      <c r="H25" s="16"/>
      <c r="I25" s="16"/>
      <c r="J25" s="16"/>
      <c r="K25" s="16"/>
      <c r="L25" s="15"/>
      <c r="M25" s="15"/>
      <c r="N25" s="15"/>
      <c r="O25" s="15"/>
      <c r="P25" s="15"/>
      <c r="Q25" s="15"/>
      <c r="R25" s="15"/>
      <c r="S25" s="15"/>
      <c r="T25" s="15"/>
      <c r="U25" s="15"/>
      <c r="V25" s="15"/>
      <c r="W25" s="15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</row>
    <row r="26" spans="1:39" x14ac:dyDescent="0.2">
      <c r="A26" s="18" t="s">
        <v>20</v>
      </c>
      <c r="B26" s="19">
        <v>45608</v>
      </c>
      <c r="C26" s="19">
        <v>45613</v>
      </c>
      <c r="D26" s="15"/>
      <c r="E26" s="16"/>
      <c r="F26" s="16"/>
      <c r="G26" s="16"/>
      <c r="H26" s="16"/>
      <c r="I26" s="16"/>
      <c r="J26" s="16"/>
      <c r="K26" s="16"/>
      <c r="L26" s="15"/>
      <c r="M26" s="15"/>
      <c r="N26" s="15"/>
      <c r="O26" s="15"/>
      <c r="P26" s="15"/>
      <c r="Q26" s="15"/>
      <c r="R26" s="15"/>
      <c r="S26" s="15"/>
      <c r="T26" s="15"/>
      <c r="U26" s="15"/>
      <c r="V26" s="15"/>
      <c r="W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</row>
    <row r="27" spans="1:39" x14ac:dyDescent="0.2">
      <c r="A27" s="17" t="s">
        <v>21</v>
      </c>
      <c r="B27" s="14">
        <v>45608</v>
      </c>
      <c r="C27" s="14">
        <v>45613</v>
      </c>
      <c r="D27" s="15"/>
      <c r="E27" s="16"/>
      <c r="F27" s="16"/>
      <c r="G27" s="16"/>
      <c r="H27" s="16"/>
      <c r="I27" s="16"/>
      <c r="J27" s="16"/>
      <c r="K27" s="16"/>
      <c r="L27" s="15"/>
      <c r="M27" s="15"/>
      <c r="N27" s="15"/>
      <c r="O27" s="15"/>
      <c r="P27" s="15"/>
      <c r="Q27" s="15"/>
      <c r="R27" s="15"/>
      <c r="S27" s="15"/>
      <c r="T27" s="15"/>
      <c r="U27" s="15"/>
      <c r="V27" s="15"/>
      <c r="W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</row>
    <row r="28" spans="1:39" x14ac:dyDescent="0.2">
      <c r="A28" s="18" t="s">
        <v>22</v>
      </c>
      <c r="B28" s="19">
        <v>45608</v>
      </c>
      <c r="C28" s="19">
        <v>45613</v>
      </c>
      <c r="D28" s="15"/>
      <c r="E28" s="16"/>
      <c r="F28" s="16"/>
      <c r="G28" s="16"/>
      <c r="H28" s="16"/>
      <c r="I28" s="16"/>
      <c r="J28" s="16"/>
      <c r="K28" s="16"/>
      <c r="L28" s="15"/>
      <c r="M28" s="15"/>
      <c r="N28" s="15"/>
      <c r="O28" s="15"/>
      <c r="P28" s="15"/>
      <c r="Q28" s="15"/>
      <c r="R28" s="15"/>
      <c r="S28" s="15"/>
      <c r="T28" s="15"/>
      <c r="U28" s="15"/>
      <c r="V28" s="15"/>
      <c r="W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</row>
    <row r="29" spans="1:39" x14ac:dyDescent="0.2">
      <c r="A29" s="18" t="s">
        <v>23</v>
      </c>
      <c r="B29" s="19">
        <v>45608</v>
      </c>
      <c r="C29" s="19">
        <v>45613</v>
      </c>
      <c r="D29" s="15"/>
      <c r="E29" s="16"/>
      <c r="F29" s="16"/>
      <c r="G29" s="16"/>
      <c r="H29" s="16"/>
      <c r="I29" s="16"/>
      <c r="J29" s="16"/>
      <c r="K29" s="16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</row>
    <row r="30" spans="1:39" x14ac:dyDescent="0.2">
      <c r="A30" s="18" t="s">
        <v>24</v>
      </c>
      <c r="B30" s="19">
        <v>45608</v>
      </c>
      <c r="C30" s="19">
        <v>45613</v>
      </c>
      <c r="D30" s="15"/>
      <c r="E30" s="16"/>
      <c r="F30" s="16"/>
      <c r="G30" s="16"/>
      <c r="H30" s="16"/>
      <c r="I30" s="16"/>
      <c r="J30" s="16"/>
      <c r="K30" s="16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</row>
    <row r="31" spans="1:39" x14ac:dyDescent="0.2">
      <c r="A31" s="18" t="s">
        <v>25</v>
      </c>
      <c r="B31" s="19">
        <v>45608</v>
      </c>
      <c r="C31" s="19">
        <v>45613</v>
      </c>
      <c r="D31" s="15"/>
      <c r="E31" s="16"/>
      <c r="F31" s="16"/>
      <c r="G31" s="16"/>
      <c r="H31" s="16"/>
      <c r="I31" s="16"/>
      <c r="J31" s="16"/>
      <c r="K31" s="16"/>
      <c r="L31" s="15"/>
      <c r="M31" s="15"/>
      <c r="N31" s="15"/>
      <c r="O31" s="15"/>
      <c r="P31" s="15"/>
      <c r="Q31" s="15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</row>
    <row r="32" spans="1:39" x14ac:dyDescent="0.2">
      <c r="A32" s="17" t="s">
        <v>26</v>
      </c>
      <c r="B32" s="14">
        <v>45614</v>
      </c>
      <c r="C32" s="14">
        <v>45620</v>
      </c>
      <c r="D32" s="15"/>
      <c r="E32" s="16"/>
      <c r="F32" s="16"/>
      <c r="G32" s="16"/>
      <c r="H32" s="16"/>
      <c r="I32" s="16"/>
      <c r="J32" s="16"/>
      <c r="K32" s="16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</row>
    <row r="33" spans="1:39" x14ac:dyDescent="0.2">
      <c r="A33" s="18" t="s">
        <v>27</v>
      </c>
      <c r="B33" s="19">
        <v>45614</v>
      </c>
      <c r="C33" s="19">
        <v>45620</v>
      </c>
      <c r="D33" s="15"/>
      <c r="E33" s="16"/>
      <c r="F33" s="16"/>
      <c r="G33" s="16"/>
      <c r="H33" s="16"/>
      <c r="I33" s="16"/>
      <c r="J33" s="16"/>
      <c r="K33" s="16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</row>
    <row r="34" spans="1:39" x14ac:dyDescent="0.2">
      <c r="A34" s="18" t="s">
        <v>28</v>
      </c>
      <c r="B34" s="19">
        <v>45614</v>
      </c>
      <c r="C34" s="19">
        <v>45620</v>
      </c>
      <c r="D34" s="15"/>
      <c r="E34" s="16"/>
      <c r="F34" s="16"/>
      <c r="G34" s="16"/>
      <c r="H34" s="16"/>
      <c r="I34" s="16"/>
      <c r="J34" s="16"/>
      <c r="K34" s="16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</row>
    <row r="35" spans="1:39" x14ac:dyDescent="0.2">
      <c r="A35" s="17" t="s">
        <v>30</v>
      </c>
      <c r="B35" s="14">
        <v>45621</v>
      </c>
      <c r="C35" s="14">
        <v>45627</v>
      </c>
      <c r="D35" s="15"/>
      <c r="E35" s="16"/>
      <c r="F35" s="16"/>
      <c r="G35" s="16"/>
      <c r="H35" s="16"/>
      <c r="I35" s="16"/>
      <c r="J35" s="16"/>
      <c r="K35" s="16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</row>
    <row r="36" spans="1:39" x14ac:dyDescent="0.2">
      <c r="A36" s="18" t="s">
        <v>31</v>
      </c>
      <c r="B36" s="19">
        <v>45621</v>
      </c>
      <c r="C36" s="19">
        <v>45627</v>
      </c>
      <c r="D36" s="15"/>
      <c r="E36" s="16"/>
      <c r="F36" s="16"/>
      <c r="G36" s="16"/>
      <c r="H36" s="16"/>
      <c r="I36" s="16"/>
      <c r="J36" s="16"/>
      <c r="K36" s="16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</row>
    <row r="37" spans="1:39" x14ac:dyDescent="0.2">
      <c r="A37" s="18" t="s">
        <v>32</v>
      </c>
      <c r="B37" s="19">
        <v>45621</v>
      </c>
      <c r="C37" s="19">
        <v>45627</v>
      </c>
      <c r="D37" s="15"/>
      <c r="E37" s="16"/>
      <c r="F37" s="16"/>
      <c r="G37" s="16"/>
      <c r="H37" s="16"/>
      <c r="I37" s="16"/>
      <c r="J37" s="16"/>
      <c r="K37" s="16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</row>
    <row r="38" spans="1:39" x14ac:dyDescent="0.2">
      <c r="A38" s="17" t="s">
        <v>33</v>
      </c>
      <c r="B38" s="14">
        <v>45635</v>
      </c>
      <c r="C38" s="14">
        <v>45641</v>
      </c>
      <c r="D38" s="15"/>
      <c r="E38" s="16"/>
      <c r="F38" s="16"/>
      <c r="G38" s="16"/>
      <c r="H38" s="16"/>
      <c r="I38" s="16"/>
      <c r="J38" s="16"/>
      <c r="K38" s="16"/>
      <c r="L38" s="15"/>
      <c r="M38" s="15"/>
      <c r="N38" s="15"/>
      <c r="O38" s="15"/>
      <c r="P38" s="15"/>
      <c r="Q38" s="15"/>
      <c r="R38" s="15"/>
      <c r="S38" s="15"/>
      <c r="T38" s="15"/>
      <c r="U38" s="15"/>
      <c r="V38" s="15"/>
      <c r="W38" s="15"/>
      <c r="X38" s="15"/>
      <c r="Y38" s="15"/>
      <c r="Z38" s="15"/>
      <c r="AA38" s="15"/>
      <c r="AB38" s="15"/>
      <c r="AC38" s="15"/>
      <c r="AD38" s="15"/>
      <c r="AE38" s="15"/>
      <c r="AF38" s="15"/>
      <c r="AG38" s="15"/>
      <c r="AH38" s="15"/>
      <c r="AI38" s="15"/>
      <c r="AJ38" s="15"/>
      <c r="AK38" s="15"/>
      <c r="AL38" s="15"/>
      <c r="AM38" s="15"/>
    </row>
    <row r="39" spans="1:39" x14ac:dyDescent="0.2">
      <c r="A39" s="18" t="s">
        <v>34</v>
      </c>
      <c r="B39" s="19">
        <v>45635</v>
      </c>
      <c r="C39" s="19">
        <v>45641</v>
      </c>
      <c r="D39" s="15"/>
      <c r="E39" s="16"/>
      <c r="F39" s="16"/>
      <c r="G39" s="16"/>
      <c r="H39" s="16"/>
      <c r="I39" s="16"/>
      <c r="J39" s="16"/>
      <c r="K39" s="16"/>
      <c r="L39" s="15"/>
      <c r="M39" s="15"/>
      <c r="N39" s="15"/>
      <c r="O39" s="15"/>
      <c r="P39" s="15"/>
      <c r="Q39" s="15"/>
      <c r="R39" s="15"/>
      <c r="S39" s="15"/>
      <c r="T39" s="15"/>
      <c r="U39" s="15"/>
      <c r="V39" s="15"/>
      <c r="W39" s="15"/>
      <c r="X39" s="15"/>
      <c r="Y39" s="15"/>
      <c r="Z39" s="15"/>
      <c r="AA39" s="15"/>
      <c r="AB39" s="15"/>
      <c r="AC39" s="15"/>
      <c r="AD39" s="15"/>
      <c r="AE39" s="15"/>
      <c r="AF39" s="15"/>
      <c r="AG39" s="15"/>
      <c r="AH39" s="15"/>
      <c r="AI39" s="15"/>
      <c r="AJ39" s="15"/>
      <c r="AK39" s="15"/>
      <c r="AL39" s="15"/>
      <c r="AM39" s="15"/>
    </row>
    <row r="40" spans="1:39" x14ac:dyDescent="0.2">
      <c r="A40" s="18" t="s">
        <v>35</v>
      </c>
      <c r="B40" s="19">
        <v>45635</v>
      </c>
      <c r="C40" s="19">
        <v>45641</v>
      </c>
      <c r="D40" s="15"/>
      <c r="E40" s="16"/>
      <c r="F40" s="16"/>
      <c r="G40" s="16"/>
      <c r="H40" s="16"/>
      <c r="I40" s="16"/>
      <c r="J40" s="16"/>
      <c r="K40" s="16"/>
      <c r="L40" s="15"/>
      <c r="M40" s="15"/>
      <c r="N40" s="15"/>
      <c r="O40" s="15"/>
      <c r="P40" s="15"/>
      <c r="Q40" s="15"/>
      <c r="R40" s="15"/>
      <c r="S40" s="15"/>
      <c r="T40" s="15"/>
      <c r="U40" s="15"/>
      <c r="V40" s="15"/>
      <c r="W40" s="15"/>
      <c r="X40" s="15"/>
      <c r="Y40" s="15"/>
      <c r="Z40" s="15"/>
      <c r="AA40" s="15"/>
      <c r="AB40" s="15"/>
      <c r="AC40" s="15"/>
      <c r="AD40" s="15"/>
      <c r="AE40" s="15"/>
      <c r="AF40" s="15"/>
      <c r="AG40" s="15"/>
      <c r="AH40" s="15"/>
      <c r="AI40" s="15"/>
      <c r="AJ40" s="15"/>
      <c r="AK40" s="15"/>
      <c r="AL40" s="15"/>
      <c r="AM40" s="15"/>
    </row>
    <row r="41" spans="1:39" x14ac:dyDescent="0.2">
      <c r="A41" s="17" t="s">
        <v>45</v>
      </c>
      <c r="B41" s="14">
        <v>45642</v>
      </c>
      <c r="C41" s="14">
        <v>45648</v>
      </c>
      <c r="D41" s="15"/>
      <c r="E41" s="16"/>
      <c r="F41" s="16"/>
      <c r="G41" s="16"/>
      <c r="H41" s="16"/>
      <c r="I41" s="16"/>
      <c r="J41" s="16"/>
      <c r="K41" s="16"/>
      <c r="L41" s="15"/>
      <c r="M41" s="15"/>
      <c r="N41" s="15"/>
      <c r="O41" s="15"/>
      <c r="P41" s="15"/>
      <c r="Q41" s="15"/>
      <c r="R41" s="15"/>
      <c r="S41" s="15"/>
      <c r="T41" s="15"/>
      <c r="U41" s="15"/>
      <c r="V41" s="15"/>
      <c r="W41" s="15"/>
      <c r="X41" s="15"/>
      <c r="Y41" s="15"/>
      <c r="Z41" s="15"/>
      <c r="AA41" s="15"/>
      <c r="AB41" s="15"/>
      <c r="AC41" s="15"/>
      <c r="AD41" s="15"/>
      <c r="AE41" s="15"/>
      <c r="AF41" s="15"/>
      <c r="AG41" s="15"/>
      <c r="AH41" s="15"/>
      <c r="AI41" s="15"/>
      <c r="AJ41" s="15"/>
      <c r="AK41" s="15"/>
      <c r="AL41" s="15"/>
      <c r="AM41" s="15"/>
    </row>
    <row r="42" spans="1:39" x14ac:dyDescent="0.2">
      <c r="A42" s="18" t="s">
        <v>36</v>
      </c>
      <c r="B42" s="19">
        <v>45642</v>
      </c>
      <c r="C42" s="19">
        <v>45648</v>
      </c>
      <c r="D42" s="15"/>
      <c r="E42" s="16"/>
      <c r="F42" s="16"/>
      <c r="G42" s="16"/>
      <c r="H42" s="16"/>
      <c r="I42" s="16"/>
      <c r="J42" s="16"/>
      <c r="K42" s="16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  <c r="X42" s="15"/>
      <c r="Y42" s="15"/>
      <c r="Z42" s="15"/>
      <c r="AA42" s="15"/>
      <c r="AB42" s="15"/>
      <c r="AC42" s="15"/>
      <c r="AD42" s="15"/>
      <c r="AE42" s="15"/>
      <c r="AF42" s="15"/>
      <c r="AG42" s="15"/>
      <c r="AH42" s="15"/>
      <c r="AI42" s="15"/>
      <c r="AJ42" s="15"/>
      <c r="AK42" s="15"/>
      <c r="AL42" s="15"/>
      <c r="AM42" s="15"/>
    </row>
    <row r="43" spans="1:39" x14ac:dyDescent="0.2">
      <c r="A43" s="18" t="s">
        <v>42</v>
      </c>
      <c r="B43" s="19">
        <v>45642</v>
      </c>
      <c r="C43" s="19">
        <v>45648</v>
      </c>
      <c r="D43" s="15"/>
      <c r="E43" s="16"/>
      <c r="F43" s="16"/>
      <c r="G43" s="16"/>
      <c r="H43" s="16"/>
      <c r="I43" s="16"/>
      <c r="J43" s="16"/>
      <c r="K43" s="16"/>
      <c r="L43" s="15"/>
      <c r="M43" s="15"/>
      <c r="N43" s="15"/>
      <c r="O43" s="15"/>
      <c r="P43" s="15"/>
      <c r="Q43" s="15"/>
      <c r="R43" s="15"/>
      <c r="S43" s="15"/>
      <c r="T43" s="15"/>
      <c r="U43" s="15"/>
      <c r="V43" s="15"/>
      <c r="W43" s="15"/>
      <c r="X43" s="15"/>
      <c r="Y43" s="15"/>
      <c r="Z43" s="15"/>
      <c r="AA43" s="15"/>
      <c r="AB43" s="15"/>
      <c r="AC43" s="15"/>
      <c r="AD43" s="15"/>
      <c r="AE43" s="15"/>
      <c r="AF43" s="15"/>
      <c r="AG43" s="15"/>
      <c r="AH43" s="15"/>
      <c r="AI43" s="15"/>
      <c r="AJ43" s="15"/>
      <c r="AK43" s="15"/>
      <c r="AL43" s="15"/>
      <c r="AM43" s="15"/>
    </row>
    <row r="44" spans="1:39" x14ac:dyDescent="0.2">
      <c r="A44" s="18" t="s">
        <v>46</v>
      </c>
      <c r="B44" s="19">
        <v>45659</v>
      </c>
      <c r="C44" s="19">
        <v>45665</v>
      </c>
      <c r="D44" s="15"/>
      <c r="E44" s="16"/>
      <c r="F44" s="16"/>
      <c r="G44" s="16"/>
      <c r="H44" s="16"/>
      <c r="I44" s="16"/>
      <c r="J44" s="16"/>
      <c r="K44" s="16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  <c r="W44" s="15"/>
      <c r="X44" s="15"/>
      <c r="Y44" s="15"/>
      <c r="Z44" s="15"/>
      <c r="AA44" s="15"/>
      <c r="AB44" s="15"/>
      <c r="AC44" s="15"/>
      <c r="AD44" s="15"/>
      <c r="AE44" s="15"/>
      <c r="AF44" s="15"/>
      <c r="AG44" s="15"/>
      <c r="AH44" s="15"/>
      <c r="AI44" s="15"/>
      <c r="AJ44" s="15"/>
      <c r="AK44" s="15"/>
      <c r="AL44" s="15"/>
      <c r="AM44" s="15"/>
    </row>
    <row r="45" spans="1:39" x14ac:dyDescent="0.2">
      <c r="A45" s="18" t="s">
        <v>47</v>
      </c>
      <c r="B45" s="19">
        <v>45659</v>
      </c>
      <c r="C45" s="19">
        <v>45665</v>
      </c>
      <c r="D45" s="15"/>
      <c r="E45" s="16"/>
      <c r="F45" s="16"/>
      <c r="G45" s="16"/>
      <c r="H45" s="16"/>
      <c r="I45" s="16"/>
      <c r="J45" s="16"/>
      <c r="K45" s="16"/>
      <c r="L45" s="15"/>
      <c r="M45" s="15"/>
      <c r="N45" s="15"/>
      <c r="O45" s="15"/>
      <c r="P45" s="15"/>
      <c r="Q45" s="15"/>
      <c r="R45" s="15"/>
      <c r="S45" s="15"/>
      <c r="T45" s="15"/>
      <c r="U45" s="15"/>
      <c r="V45" s="15"/>
      <c r="W45" s="15"/>
      <c r="X45" s="15"/>
      <c r="Y45" s="15"/>
      <c r="Z45" s="15"/>
      <c r="AA45" s="15"/>
      <c r="AB45" s="15"/>
      <c r="AC45" s="15"/>
      <c r="AD45" s="15"/>
      <c r="AE45" s="15"/>
      <c r="AF45" s="15"/>
      <c r="AG45" s="15"/>
      <c r="AH45" s="15"/>
      <c r="AI45" s="15"/>
      <c r="AJ45" s="15"/>
      <c r="AK45" s="15"/>
      <c r="AL45" s="15"/>
      <c r="AM45" s="15"/>
    </row>
    <row r="46" spans="1:39" x14ac:dyDescent="0.2">
      <c r="A46" s="18" t="s">
        <v>48</v>
      </c>
      <c r="B46" s="19">
        <v>45666</v>
      </c>
      <c r="C46" s="19">
        <v>45306</v>
      </c>
      <c r="D46" s="15"/>
      <c r="E46" s="16"/>
      <c r="F46" s="16"/>
      <c r="G46" s="16"/>
      <c r="H46" s="16"/>
      <c r="I46" s="16"/>
      <c r="J46" s="16"/>
      <c r="K46" s="16"/>
      <c r="L46" s="15"/>
      <c r="M46" s="15"/>
      <c r="N46" s="15"/>
      <c r="O46" s="15"/>
      <c r="P46" s="15"/>
      <c r="Q46" s="15"/>
      <c r="R46" s="15"/>
      <c r="S46" s="15"/>
      <c r="T46" s="15"/>
      <c r="U46" s="15"/>
      <c r="V46" s="15"/>
      <c r="W46" s="15"/>
      <c r="X46" s="15"/>
      <c r="Y46" s="15"/>
      <c r="Z46" s="15"/>
      <c r="AA46" s="15"/>
      <c r="AB46" s="15"/>
      <c r="AC46" s="15"/>
      <c r="AD46" s="15"/>
      <c r="AE46" s="15"/>
      <c r="AF46" s="15"/>
      <c r="AG46" s="15"/>
      <c r="AH46" s="15"/>
      <c r="AI46" s="15"/>
      <c r="AJ46" s="15"/>
      <c r="AK46" s="15"/>
      <c r="AL46" s="15"/>
      <c r="AM46" s="15"/>
    </row>
    <row r="47" spans="1:39" x14ac:dyDescent="0.2">
      <c r="A47" s="18" t="s">
        <v>103</v>
      </c>
      <c r="B47" s="19">
        <v>45666</v>
      </c>
      <c r="C47" s="19">
        <v>45306</v>
      </c>
      <c r="D47" s="15"/>
      <c r="E47" s="16"/>
      <c r="F47" s="16"/>
      <c r="G47" s="16"/>
      <c r="H47" s="16"/>
      <c r="I47" s="16"/>
      <c r="J47" s="16"/>
      <c r="K47" s="16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  <c r="W47" s="15"/>
      <c r="X47" s="15"/>
      <c r="Y47" s="15"/>
      <c r="Z47" s="15"/>
      <c r="AA47" s="15"/>
      <c r="AB47" s="15"/>
      <c r="AC47" s="15"/>
      <c r="AD47" s="15"/>
      <c r="AE47" s="15"/>
      <c r="AF47" s="15"/>
      <c r="AG47" s="15"/>
      <c r="AH47" s="15"/>
      <c r="AI47" s="15"/>
      <c r="AJ47" s="15"/>
      <c r="AK47" s="15"/>
      <c r="AL47" s="15"/>
      <c r="AM47" s="15"/>
    </row>
    <row r="48" spans="1:39" x14ac:dyDescent="0.2">
      <c r="A48" s="18" t="s">
        <v>49</v>
      </c>
      <c r="B48" s="19">
        <v>45666</v>
      </c>
      <c r="C48" s="19">
        <v>45306</v>
      </c>
      <c r="D48" s="15"/>
      <c r="E48" s="16"/>
      <c r="F48" s="16"/>
      <c r="G48" s="16"/>
      <c r="H48" s="16"/>
      <c r="I48" s="16"/>
      <c r="J48" s="16"/>
      <c r="K48" s="16"/>
      <c r="L48" s="15"/>
      <c r="M48" s="15"/>
      <c r="N48" s="15"/>
      <c r="O48" s="15"/>
      <c r="P48" s="15"/>
      <c r="Q48" s="15"/>
      <c r="R48" s="15"/>
      <c r="S48" s="15"/>
      <c r="T48" s="15"/>
      <c r="U48" s="15"/>
      <c r="V48" s="15"/>
      <c r="W48" s="15"/>
      <c r="X48" s="15"/>
      <c r="Y48" s="15"/>
      <c r="Z48" s="15"/>
      <c r="AA48" s="15"/>
      <c r="AB48" s="15"/>
      <c r="AC48" s="15"/>
      <c r="AD48" s="15"/>
      <c r="AE48" s="15"/>
      <c r="AF48" s="15"/>
      <c r="AG48" s="15"/>
      <c r="AH48" s="15"/>
      <c r="AI48" s="15"/>
      <c r="AJ48" s="15"/>
      <c r="AK48" s="15"/>
      <c r="AL48" s="15"/>
      <c r="AM48" s="15"/>
    </row>
    <row r="49" spans="1:39" x14ac:dyDescent="0.2">
      <c r="A49" s="18" t="s">
        <v>50</v>
      </c>
      <c r="B49" s="19">
        <v>45673</v>
      </c>
      <c r="C49" s="19">
        <v>45678</v>
      </c>
      <c r="D49" s="15"/>
      <c r="E49" s="16"/>
      <c r="F49" s="16"/>
      <c r="G49" s="16"/>
      <c r="H49" s="16"/>
      <c r="I49" s="16"/>
      <c r="J49" s="16"/>
      <c r="K49" s="16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  <c r="Y49" s="15"/>
      <c r="Z49" s="15"/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</row>
    <row r="50" spans="1:39" x14ac:dyDescent="0.2">
      <c r="A50" s="18" t="s">
        <v>51</v>
      </c>
      <c r="B50" s="19">
        <v>45673</v>
      </c>
      <c r="C50" s="19">
        <v>45678</v>
      </c>
      <c r="D50" s="15"/>
      <c r="E50" s="16"/>
      <c r="F50" s="16"/>
      <c r="G50" s="16"/>
      <c r="H50" s="16"/>
      <c r="I50" s="16"/>
      <c r="J50" s="16"/>
      <c r="K50" s="16"/>
      <c r="L50" s="15"/>
      <c r="M50" s="15"/>
      <c r="N50" s="15"/>
      <c r="O50" s="15"/>
      <c r="P50" s="15"/>
      <c r="Q50" s="15"/>
      <c r="R50" s="15"/>
      <c r="S50" s="15"/>
      <c r="T50" s="15"/>
      <c r="U50" s="15"/>
      <c r="V50" s="15"/>
      <c r="W50" s="15"/>
      <c r="X50" s="15"/>
      <c r="Y50" s="15"/>
      <c r="Z50" s="15"/>
      <c r="AA50" s="15"/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</row>
    <row r="51" spans="1:39" x14ac:dyDescent="0.2">
      <c r="A51" s="18" t="s">
        <v>52</v>
      </c>
      <c r="B51" s="19">
        <v>45673</v>
      </c>
      <c r="C51" s="19">
        <v>45678</v>
      </c>
      <c r="D51" s="15"/>
      <c r="E51" s="16"/>
      <c r="F51" s="16"/>
      <c r="G51" s="16"/>
      <c r="H51" s="16"/>
      <c r="I51" s="16"/>
      <c r="J51" s="16"/>
      <c r="K51" s="16"/>
      <c r="L51" s="15"/>
      <c r="M51" s="15"/>
      <c r="N51" s="15"/>
      <c r="O51" s="15"/>
      <c r="P51" s="15"/>
      <c r="Q51" s="15"/>
      <c r="R51" s="15"/>
      <c r="S51" s="15"/>
      <c r="T51" s="15"/>
      <c r="U51" s="15"/>
      <c r="V51" s="15"/>
      <c r="W51" s="15"/>
      <c r="X51" s="15"/>
      <c r="Y51" s="15"/>
      <c r="Z51" s="15"/>
      <c r="AA51" s="15"/>
      <c r="AB51" s="15"/>
      <c r="AC51" s="15"/>
      <c r="AD51" s="15"/>
      <c r="AE51" s="15"/>
      <c r="AF51" s="15"/>
      <c r="AG51" s="15"/>
      <c r="AH51" s="15"/>
      <c r="AI51" s="15"/>
      <c r="AJ51" s="15"/>
      <c r="AK51" s="15"/>
      <c r="AL51" s="15"/>
      <c r="AM51" s="15"/>
    </row>
    <row r="52" spans="1:39" x14ac:dyDescent="0.2">
      <c r="A52" s="20" t="s">
        <v>53</v>
      </c>
      <c r="B52" s="14">
        <v>45659</v>
      </c>
      <c r="C52" s="14">
        <v>45764</v>
      </c>
      <c r="D52" s="15"/>
      <c r="E52" s="16"/>
      <c r="F52" s="16"/>
      <c r="G52" s="16"/>
      <c r="H52" s="16"/>
      <c r="I52" s="16"/>
      <c r="J52" s="16"/>
      <c r="K52" s="16"/>
      <c r="L52" s="15"/>
      <c r="M52" s="15"/>
      <c r="N52" s="15"/>
      <c r="O52" s="15"/>
      <c r="P52" s="15"/>
      <c r="Q52" s="15"/>
      <c r="R52" s="15"/>
      <c r="S52" s="15"/>
      <c r="T52" s="15"/>
      <c r="U52" s="15"/>
      <c r="V52" s="15"/>
      <c r="W52" s="15"/>
      <c r="X52" s="15"/>
      <c r="Y52" s="15"/>
      <c r="Z52" s="15"/>
      <c r="AA52" s="15"/>
      <c r="AB52" s="15"/>
      <c r="AC52" s="15"/>
      <c r="AD52" s="15"/>
      <c r="AE52" s="15"/>
      <c r="AF52" s="15"/>
      <c r="AG52" s="15"/>
      <c r="AH52" s="15"/>
      <c r="AI52" s="15"/>
      <c r="AJ52" s="15"/>
      <c r="AK52" s="15"/>
      <c r="AL52" s="15"/>
      <c r="AM52" s="15"/>
    </row>
    <row r="53" spans="1:39" x14ac:dyDescent="0.2">
      <c r="A53" s="17" t="s">
        <v>60</v>
      </c>
      <c r="B53" s="14">
        <v>45679</v>
      </c>
      <c r="C53" s="14">
        <v>45340</v>
      </c>
      <c r="D53" s="15"/>
      <c r="E53" s="16"/>
      <c r="F53" s="16"/>
      <c r="G53" s="16"/>
      <c r="H53" s="16"/>
      <c r="I53" s="16"/>
      <c r="J53" s="16"/>
      <c r="K53" s="16"/>
      <c r="L53" s="15"/>
      <c r="M53" s="15"/>
      <c r="N53" s="15"/>
      <c r="O53" s="15"/>
      <c r="P53" s="15"/>
      <c r="Q53" s="15"/>
      <c r="R53" s="15"/>
      <c r="S53" s="15"/>
      <c r="T53" s="15"/>
      <c r="U53" s="15"/>
      <c r="V53" s="15"/>
      <c r="W53" s="15"/>
      <c r="X53" s="15"/>
      <c r="Y53" s="15"/>
      <c r="Z53" s="15"/>
      <c r="AA53" s="15"/>
      <c r="AB53" s="15"/>
      <c r="AC53" s="15"/>
      <c r="AD53" s="15"/>
      <c r="AE53" s="15"/>
      <c r="AF53" s="15"/>
      <c r="AG53" s="15"/>
      <c r="AH53" s="15"/>
      <c r="AI53" s="15"/>
      <c r="AJ53" s="15"/>
      <c r="AK53" s="15"/>
      <c r="AL53" s="15"/>
      <c r="AM53" s="15"/>
    </row>
    <row r="54" spans="1:39" x14ac:dyDescent="0.2">
      <c r="A54" s="18" t="s">
        <v>54</v>
      </c>
      <c r="B54" s="19">
        <v>45679</v>
      </c>
      <c r="C54" s="19">
        <v>45685</v>
      </c>
      <c r="D54" s="15"/>
      <c r="E54" s="16"/>
      <c r="F54" s="16"/>
      <c r="G54" s="16"/>
      <c r="H54" s="16"/>
      <c r="I54" s="16"/>
      <c r="J54" s="16"/>
      <c r="K54" s="16"/>
      <c r="L54" s="15"/>
      <c r="M54" s="15"/>
      <c r="N54" s="15"/>
      <c r="O54" s="15"/>
      <c r="P54" s="15"/>
      <c r="Q54" s="15"/>
      <c r="R54" s="15"/>
      <c r="S54" s="15"/>
      <c r="T54" s="15"/>
      <c r="U54" s="15"/>
      <c r="V54" s="15"/>
      <c r="W54" s="15"/>
      <c r="X54" s="15"/>
      <c r="Y54" s="15"/>
      <c r="Z54" s="15"/>
      <c r="AA54" s="15"/>
      <c r="AB54" s="15"/>
      <c r="AC54" s="15"/>
      <c r="AD54" s="15"/>
      <c r="AE54" s="15"/>
      <c r="AF54" s="15"/>
      <c r="AG54" s="15"/>
      <c r="AH54" s="15"/>
      <c r="AI54" s="15"/>
      <c r="AJ54" s="15"/>
      <c r="AK54" s="15"/>
      <c r="AL54" s="15"/>
      <c r="AM54" s="15"/>
    </row>
    <row r="55" spans="1:39" x14ac:dyDescent="0.2">
      <c r="A55" s="18" t="s">
        <v>55</v>
      </c>
      <c r="B55" s="19">
        <v>45679</v>
      </c>
      <c r="C55" s="19">
        <v>45685</v>
      </c>
      <c r="D55" s="15"/>
      <c r="E55" s="16"/>
      <c r="F55" s="16"/>
      <c r="G55" s="16"/>
      <c r="H55" s="16"/>
      <c r="I55" s="16"/>
      <c r="J55" s="16"/>
      <c r="K55" s="16"/>
      <c r="L55" s="15"/>
      <c r="M55" s="15"/>
      <c r="N55" s="15"/>
      <c r="O55" s="15"/>
      <c r="P55" s="15"/>
      <c r="Q55" s="15"/>
      <c r="R55" s="15"/>
      <c r="S55" s="15"/>
      <c r="T55" s="15"/>
      <c r="U55" s="15"/>
      <c r="V55" s="15"/>
      <c r="W55" s="15"/>
      <c r="X55" s="15"/>
      <c r="Y55" s="15"/>
      <c r="Z55" s="15"/>
      <c r="AA55" s="15"/>
      <c r="AB55" s="15"/>
      <c r="AC55" s="15"/>
      <c r="AD55" s="15"/>
      <c r="AE55" s="15"/>
      <c r="AF55" s="15"/>
      <c r="AG55" s="15"/>
      <c r="AH55" s="15"/>
      <c r="AI55" s="15"/>
      <c r="AJ55" s="15"/>
      <c r="AK55" s="15"/>
      <c r="AL55" s="15"/>
      <c r="AM55" s="15"/>
    </row>
    <row r="56" spans="1:39" x14ac:dyDescent="0.2">
      <c r="A56" s="18" t="s">
        <v>56</v>
      </c>
      <c r="B56" s="19">
        <v>45679</v>
      </c>
      <c r="C56" s="19">
        <v>45685</v>
      </c>
      <c r="D56" s="15"/>
      <c r="E56" s="16"/>
      <c r="F56" s="16"/>
      <c r="G56" s="16"/>
      <c r="H56" s="16"/>
      <c r="I56" s="16"/>
      <c r="J56" s="16"/>
      <c r="K56" s="16"/>
      <c r="L56" s="15"/>
      <c r="M56" s="15"/>
      <c r="N56" s="15"/>
      <c r="O56" s="15"/>
      <c r="P56" s="15"/>
      <c r="Q56" s="15"/>
      <c r="R56" s="15"/>
      <c r="S56" s="15"/>
      <c r="T56" s="15"/>
      <c r="U56" s="15"/>
      <c r="V56" s="15"/>
      <c r="W56" s="15"/>
      <c r="X56" s="15"/>
      <c r="Y56" s="15"/>
      <c r="Z56" s="15"/>
      <c r="AA56" s="15"/>
      <c r="AB56" s="15"/>
      <c r="AC56" s="15"/>
      <c r="AD56" s="15"/>
      <c r="AE56" s="15"/>
      <c r="AF56" s="15"/>
      <c r="AG56" s="15"/>
      <c r="AH56" s="15"/>
      <c r="AI56" s="15"/>
      <c r="AJ56" s="15"/>
      <c r="AK56" s="15"/>
      <c r="AL56" s="15"/>
      <c r="AM56" s="15"/>
    </row>
    <row r="57" spans="1:39" x14ac:dyDescent="0.2">
      <c r="A57" s="18" t="s">
        <v>57</v>
      </c>
      <c r="B57" s="19">
        <v>45686</v>
      </c>
      <c r="C57" s="19">
        <v>45706</v>
      </c>
      <c r="D57" s="15"/>
      <c r="E57" s="16"/>
      <c r="F57" s="16"/>
      <c r="G57" s="16"/>
      <c r="H57" s="16"/>
      <c r="I57" s="16"/>
      <c r="J57" s="16"/>
      <c r="K57" s="16"/>
      <c r="L57" s="15"/>
      <c r="M57" s="15"/>
      <c r="N57" s="15"/>
      <c r="O57" s="15"/>
      <c r="P57" s="15"/>
      <c r="Q57" s="15"/>
      <c r="R57" s="15"/>
      <c r="S57" s="15"/>
      <c r="T57" s="15"/>
      <c r="U57" s="15"/>
      <c r="V57" s="15"/>
      <c r="W57" s="15"/>
      <c r="X57" s="15"/>
      <c r="Y57" s="15"/>
      <c r="Z57" s="15"/>
      <c r="AA57" s="15"/>
      <c r="AB57" s="15"/>
      <c r="AC57" s="15"/>
      <c r="AD57" s="15"/>
      <c r="AE57" s="15"/>
      <c r="AF57" s="15"/>
      <c r="AG57" s="15"/>
      <c r="AH57" s="15"/>
      <c r="AI57" s="15"/>
      <c r="AJ57" s="15"/>
      <c r="AK57" s="15"/>
      <c r="AL57" s="15"/>
      <c r="AM57" s="15"/>
    </row>
    <row r="58" spans="1:39" x14ac:dyDescent="0.2">
      <c r="A58" s="18" t="s">
        <v>58</v>
      </c>
      <c r="B58" s="19">
        <v>45686</v>
      </c>
      <c r="C58" s="19">
        <v>45706</v>
      </c>
      <c r="D58" s="15"/>
      <c r="E58" s="16"/>
      <c r="F58" s="16"/>
      <c r="G58" s="16"/>
      <c r="H58" s="16"/>
      <c r="I58" s="16"/>
      <c r="J58" s="16"/>
      <c r="K58" s="16"/>
      <c r="L58" s="15"/>
      <c r="M58" s="15"/>
      <c r="N58" s="15"/>
      <c r="O58" s="15"/>
      <c r="P58" s="15"/>
      <c r="Q58" s="15"/>
      <c r="R58" s="15"/>
      <c r="S58" s="15"/>
      <c r="T58" s="15"/>
      <c r="U58" s="15"/>
      <c r="V58" s="15"/>
      <c r="W58" s="15"/>
      <c r="X58" s="15"/>
      <c r="Y58" s="15"/>
      <c r="Z58" s="15"/>
      <c r="AA58" s="15"/>
      <c r="AB58" s="15"/>
      <c r="AC58" s="15"/>
      <c r="AD58" s="15"/>
      <c r="AE58" s="15"/>
      <c r="AF58" s="15"/>
      <c r="AG58" s="15"/>
      <c r="AH58" s="15"/>
      <c r="AI58" s="15"/>
      <c r="AJ58" s="15"/>
      <c r="AK58" s="15"/>
      <c r="AL58" s="15"/>
      <c r="AM58" s="15"/>
    </row>
    <row r="59" spans="1:39" x14ac:dyDescent="0.2">
      <c r="A59" s="18" t="s">
        <v>59</v>
      </c>
      <c r="B59" s="19">
        <v>45686</v>
      </c>
      <c r="C59" s="19">
        <v>45706</v>
      </c>
      <c r="D59" s="15"/>
      <c r="E59" s="16"/>
      <c r="F59" s="16"/>
      <c r="G59" s="16"/>
      <c r="H59" s="16"/>
      <c r="I59" s="16"/>
      <c r="J59" s="16"/>
      <c r="K59" s="16"/>
      <c r="L59" s="15"/>
      <c r="M59" s="15"/>
      <c r="N59" s="15"/>
      <c r="O59" s="15"/>
      <c r="P59" s="15"/>
      <c r="Q59" s="15"/>
      <c r="R59" s="15"/>
      <c r="S59" s="15"/>
      <c r="T59" s="15"/>
      <c r="U59" s="15"/>
      <c r="V59" s="15"/>
      <c r="W59" s="15"/>
      <c r="X59" s="15"/>
      <c r="Y59" s="15"/>
      <c r="Z59" s="15"/>
      <c r="AA59" s="15"/>
      <c r="AB59" s="15"/>
      <c r="AC59" s="15"/>
      <c r="AD59" s="15"/>
      <c r="AE59" s="15"/>
      <c r="AF59" s="15"/>
      <c r="AG59" s="15"/>
      <c r="AH59" s="15"/>
      <c r="AI59" s="15"/>
      <c r="AJ59" s="15"/>
      <c r="AK59" s="15"/>
      <c r="AL59" s="15"/>
      <c r="AM59" s="15"/>
    </row>
    <row r="60" spans="1:39" x14ac:dyDescent="0.2">
      <c r="A60" s="17" t="s">
        <v>61</v>
      </c>
      <c r="B60" s="14">
        <v>45707</v>
      </c>
      <c r="C60" s="14">
        <v>45727</v>
      </c>
      <c r="D60" s="15"/>
      <c r="E60" s="16"/>
      <c r="F60" s="16"/>
      <c r="G60" s="16"/>
      <c r="H60" s="16"/>
      <c r="I60" s="16"/>
      <c r="J60" s="16"/>
      <c r="K60" s="16"/>
      <c r="L60" s="15"/>
      <c r="M60" s="15"/>
      <c r="N60" s="15"/>
      <c r="O60" s="15"/>
      <c r="P60" s="15"/>
      <c r="Q60" s="15"/>
      <c r="R60" s="15"/>
      <c r="S60" s="15"/>
      <c r="T60" s="15"/>
      <c r="U60" s="15"/>
      <c r="V60" s="15"/>
      <c r="W60" s="15"/>
      <c r="X60" s="15"/>
      <c r="Y60" s="15"/>
      <c r="Z60" s="15"/>
      <c r="AA60" s="15"/>
      <c r="AB60" s="15"/>
      <c r="AC60" s="15"/>
      <c r="AD60" s="15"/>
      <c r="AE60" s="15"/>
      <c r="AF60" s="15"/>
      <c r="AG60" s="15"/>
      <c r="AH60" s="15"/>
      <c r="AI60" s="15"/>
      <c r="AJ60" s="15"/>
      <c r="AK60" s="15"/>
      <c r="AL60" s="15"/>
      <c r="AM60" s="15"/>
    </row>
    <row r="61" spans="1:39" x14ac:dyDescent="0.2">
      <c r="A61" s="18" t="s">
        <v>62</v>
      </c>
      <c r="B61" s="19">
        <v>45707</v>
      </c>
      <c r="C61" s="19">
        <v>45727</v>
      </c>
      <c r="D61" s="15"/>
      <c r="E61" s="16"/>
      <c r="F61" s="16"/>
      <c r="G61" s="16"/>
      <c r="H61" s="16"/>
      <c r="I61" s="16"/>
      <c r="J61" s="16"/>
      <c r="K61" s="16"/>
      <c r="L61" s="15"/>
      <c r="M61" s="15"/>
      <c r="N61" s="15"/>
      <c r="O61" s="15"/>
      <c r="P61" s="15"/>
      <c r="Q61" s="15"/>
      <c r="R61" s="15"/>
      <c r="S61" s="15"/>
      <c r="T61" s="15"/>
      <c r="U61" s="15"/>
      <c r="V61" s="15"/>
      <c r="W61" s="15"/>
      <c r="X61" s="15"/>
      <c r="Y61" s="15"/>
      <c r="Z61" s="15"/>
      <c r="AA61" s="15"/>
      <c r="AB61" s="15"/>
      <c r="AC61" s="15"/>
      <c r="AD61" s="15"/>
      <c r="AE61" s="15"/>
      <c r="AF61" s="15"/>
      <c r="AG61" s="15"/>
      <c r="AH61" s="15"/>
      <c r="AI61" s="15"/>
      <c r="AJ61" s="15"/>
      <c r="AK61" s="15"/>
      <c r="AL61" s="15"/>
      <c r="AM61" s="15"/>
    </row>
    <row r="62" spans="1:39" x14ac:dyDescent="0.2">
      <c r="A62" s="18" t="s">
        <v>63</v>
      </c>
      <c r="B62" s="19">
        <v>45707</v>
      </c>
      <c r="C62" s="19">
        <v>45727</v>
      </c>
      <c r="D62" s="15"/>
      <c r="E62" s="16"/>
      <c r="F62" s="16"/>
      <c r="G62" s="16"/>
      <c r="H62" s="16"/>
      <c r="I62" s="16"/>
      <c r="J62" s="16"/>
      <c r="K62" s="16"/>
      <c r="L62" s="15"/>
      <c r="M62" s="15"/>
      <c r="N62" s="15"/>
      <c r="O62" s="15"/>
      <c r="P62" s="15"/>
      <c r="Q62" s="15"/>
      <c r="R62" s="15"/>
      <c r="S62" s="15"/>
      <c r="T62" s="15"/>
      <c r="U62" s="15"/>
      <c r="V62" s="15"/>
      <c r="W62" s="15"/>
      <c r="X62" s="15"/>
      <c r="Y62" s="15"/>
      <c r="Z62" s="15"/>
      <c r="AA62" s="15"/>
      <c r="AB62" s="15"/>
      <c r="AC62" s="15"/>
      <c r="AD62" s="15"/>
      <c r="AE62" s="15"/>
      <c r="AF62" s="15"/>
      <c r="AG62" s="15"/>
      <c r="AH62" s="15"/>
      <c r="AI62" s="15"/>
      <c r="AJ62" s="15"/>
      <c r="AK62" s="15"/>
      <c r="AL62" s="15"/>
      <c r="AM62" s="15"/>
    </row>
    <row r="63" spans="1:39" x14ac:dyDescent="0.2">
      <c r="A63" s="18" t="s">
        <v>64</v>
      </c>
      <c r="B63" s="19">
        <v>45728</v>
      </c>
      <c r="C63" s="19">
        <v>45734</v>
      </c>
      <c r="D63" s="15"/>
      <c r="E63" s="16"/>
      <c r="F63" s="16"/>
      <c r="G63" s="16"/>
      <c r="H63" s="16"/>
      <c r="I63" s="16"/>
      <c r="J63" s="16"/>
      <c r="K63" s="16"/>
      <c r="L63" s="15"/>
      <c r="M63" s="15"/>
      <c r="N63" s="15"/>
      <c r="O63" s="15"/>
      <c r="P63" s="15"/>
      <c r="Q63" s="15"/>
      <c r="R63" s="15"/>
      <c r="S63" s="15"/>
      <c r="T63" s="15"/>
      <c r="U63" s="15"/>
      <c r="V63" s="15"/>
      <c r="W63" s="15"/>
      <c r="X63" s="15"/>
      <c r="Y63" s="15"/>
      <c r="Z63" s="15"/>
      <c r="AA63" s="15"/>
      <c r="AB63" s="15"/>
      <c r="AC63" s="15"/>
      <c r="AD63" s="15"/>
      <c r="AE63" s="15"/>
      <c r="AF63" s="15"/>
      <c r="AG63" s="15"/>
      <c r="AH63" s="15"/>
      <c r="AI63" s="15"/>
      <c r="AJ63" s="15"/>
      <c r="AK63" s="15"/>
      <c r="AL63" s="15"/>
      <c r="AM63" s="15"/>
    </row>
    <row r="64" spans="1:39" x14ac:dyDescent="0.2">
      <c r="A64" s="18" t="s">
        <v>65</v>
      </c>
      <c r="B64" s="19">
        <v>45728</v>
      </c>
      <c r="C64" s="19">
        <v>45734</v>
      </c>
      <c r="D64" s="15"/>
      <c r="E64" s="16"/>
      <c r="F64" s="16"/>
      <c r="G64" s="16"/>
      <c r="H64" s="16"/>
      <c r="I64" s="16"/>
      <c r="J64" s="16"/>
      <c r="K64" s="16"/>
      <c r="L64" s="15"/>
      <c r="M64" s="15"/>
      <c r="N64" s="15"/>
      <c r="O64" s="15"/>
      <c r="P64" s="15"/>
      <c r="Q64" s="15"/>
      <c r="R64" s="15"/>
      <c r="S64" s="15"/>
      <c r="T64" s="15"/>
      <c r="U64" s="15"/>
      <c r="V64" s="15"/>
      <c r="W64" s="15"/>
      <c r="X64" s="15"/>
      <c r="Y64" s="15"/>
      <c r="Z64" s="15"/>
      <c r="AA64" s="15"/>
      <c r="AB64" s="15"/>
      <c r="AC64" s="15"/>
      <c r="AD64" s="15"/>
      <c r="AE64" s="15"/>
      <c r="AF64" s="15"/>
      <c r="AG64" s="15"/>
      <c r="AH64" s="15"/>
      <c r="AI64" s="15"/>
      <c r="AJ64" s="15"/>
      <c r="AK64" s="15"/>
      <c r="AL64" s="15"/>
      <c r="AM64" s="15"/>
    </row>
    <row r="65" spans="1:39" x14ac:dyDescent="0.2">
      <c r="A65" s="18" t="s">
        <v>66</v>
      </c>
      <c r="B65" s="19">
        <v>45728</v>
      </c>
      <c r="C65" s="19">
        <v>45734</v>
      </c>
      <c r="D65" s="15"/>
      <c r="E65" s="16"/>
      <c r="F65" s="16"/>
      <c r="G65" s="16"/>
      <c r="H65" s="16"/>
      <c r="I65" s="16"/>
      <c r="J65" s="16"/>
      <c r="K65" s="16"/>
      <c r="L65" s="15"/>
      <c r="M65" s="15"/>
      <c r="N65" s="15"/>
      <c r="O65" s="15"/>
      <c r="P65" s="15"/>
      <c r="Q65" s="15"/>
      <c r="R65" s="15"/>
      <c r="S65" s="15"/>
      <c r="T65" s="15"/>
      <c r="U65" s="15"/>
      <c r="V65" s="15"/>
      <c r="W65" s="15"/>
      <c r="X65" s="15"/>
      <c r="Y65" s="15"/>
      <c r="Z65" s="15"/>
      <c r="AA65" s="15"/>
      <c r="AB65" s="15"/>
      <c r="AC65" s="15"/>
      <c r="AD65" s="15"/>
      <c r="AE65" s="15"/>
      <c r="AF65" s="15"/>
      <c r="AG65" s="15"/>
      <c r="AH65" s="15"/>
      <c r="AI65" s="15"/>
      <c r="AJ65" s="15"/>
      <c r="AK65" s="15"/>
      <c r="AL65" s="15"/>
      <c r="AM65" s="15"/>
    </row>
    <row r="66" spans="1:39" x14ac:dyDescent="0.2">
      <c r="A66" s="18" t="s">
        <v>68</v>
      </c>
      <c r="B66" s="19">
        <v>45735</v>
      </c>
      <c r="C66" s="19">
        <v>45741</v>
      </c>
      <c r="D66" s="15"/>
      <c r="E66" s="16"/>
      <c r="F66" s="16"/>
      <c r="G66" s="16"/>
      <c r="H66" s="16"/>
      <c r="I66" s="16"/>
      <c r="J66" s="16"/>
      <c r="K66" s="16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  <c r="AA66" s="15"/>
      <c r="AB66" s="15"/>
      <c r="AC66" s="15"/>
      <c r="AD66" s="15"/>
      <c r="AE66" s="15"/>
      <c r="AF66" s="15"/>
      <c r="AG66" s="15"/>
      <c r="AH66" s="15"/>
      <c r="AI66" s="15"/>
      <c r="AJ66" s="15"/>
      <c r="AK66" s="15"/>
      <c r="AL66" s="15"/>
      <c r="AM66" s="15"/>
    </row>
    <row r="67" spans="1:39" x14ac:dyDescent="0.2">
      <c r="A67" s="17" t="s">
        <v>69</v>
      </c>
      <c r="B67" s="14">
        <v>45742</v>
      </c>
      <c r="C67" s="14">
        <v>45748</v>
      </c>
      <c r="D67" s="15"/>
      <c r="E67" s="16"/>
      <c r="F67" s="16"/>
      <c r="G67" s="16"/>
      <c r="H67" s="16"/>
      <c r="I67" s="16"/>
      <c r="J67" s="16"/>
      <c r="K67" s="16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  <c r="AA67" s="15"/>
      <c r="AB67" s="15"/>
      <c r="AC67" s="15"/>
      <c r="AD67" s="15"/>
      <c r="AE67" s="15"/>
      <c r="AF67" s="15"/>
      <c r="AG67" s="15"/>
      <c r="AH67" s="15"/>
      <c r="AI67" s="15"/>
      <c r="AJ67" s="15"/>
      <c r="AK67" s="15"/>
      <c r="AL67" s="15"/>
      <c r="AM67" s="15"/>
    </row>
    <row r="68" spans="1:39" x14ac:dyDescent="0.2">
      <c r="A68" s="18" t="s">
        <v>70</v>
      </c>
      <c r="B68" s="19">
        <v>45742</v>
      </c>
      <c r="C68" s="19">
        <v>45762</v>
      </c>
      <c r="D68" s="15"/>
      <c r="E68" s="16"/>
      <c r="F68" s="16"/>
      <c r="G68" s="16"/>
      <c r="H68" s="16"/>
      <c r="I68" s="16"/>
      <c r="J68" s="16"/>
      <c r="K68" s="16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  <c r="AA68" s="15"/>
      <c r="AB68" s="15"/>
      <c r="AC68" s="15"/>
      <c r="AD68" s="15"/>
      <c r="AE68" s="15"/>
      <c r="AF68" s="15"/>
      <c r="AG68" s="15"/>
      <c r="AH68" s="15"/>
      <c r="AI68" s="15"/>
      <c r="AJ68" s="15"/>
      <c r="AK68" s="15"/>
      <c r="AL68" s="15"/>
      <c r="AM68" s="15"/>
    </row>
    <row r="69" spans="1:39" x14ac:dyDescent="0.2">
      <c r="A69" s="18" t="s">
        <v>71</v>
      </c>
      <c r="B69" s="19">
        <v>45742</v>
      </c>
      <c r="C69" s="19">
        <v>45762</v>
      </c>
      <c r="D69" s="15"/>
      <c r="E69" s="16"/>
      <c r="F69" s="16"/>
      <c r="G69" s="16"/>
      <c r="H69" s="16"/>
      <c r="I69" s="16"/>
      <c r="J69" s="16"/>
      <c r="K69" s="16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  <c r="AA69" s="15"/>
      <c r="AB69" s="15"/>
      <c r="AC69" s="15"/>
      <c r="AD69" s="15"/>
      <c r="AE69" s="15"/>
      <c r="AF69" s="15"/>
      <c r="AG69" s="15"/>
      <c r="AH69" s="15"/>
      <c r="AI69" s="15"/>
      <c r="AJ69" s="15"/>
      <c r="AK69" s="15"/>
      <c r="AL69" s="15"/>
      <c r="AM69" s="15"/>
    </row>
    <row r="70" spans="1:39" x14ac:dyDescent="0.2">
      <c r="A70" s="17" t="s">
        <v>72</v>
      </c>
      <c r="B70" s="14">
        <v>45763</v>
      </c>
      <c r="C70" s="14">
        <v>45764</v>
      </c>
      <c r="D70" s="15"/>
      <c r="E70" s="16"/>
      <c r="F70" s="16"/>
      <c r="G70" s="16"/>
      <c r="H70" s="16"/>
      <c r="I70" s="16"/>
      <c r="J70" s="16"/>
      <c r="K70" s="16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  <c r="AA70" s="15"/>
      <c r="AB70" s="15"/>
      <c r="AC70" s="15"/>
      <c r="AD70" s="15"/>
      <c r="AE70" s="15"/>
      <c r="AF70" s="15"/>
      <c r="AG70" s="15"/>
      <c r="AH70" s="15"/>
      <c r="AI70" s="15"/>
      <c r="AJ70" s="15"/>
      <c r="AK70" s="15"/>
      <c r="AL70" s="15"/>
      <c r="AM70" s="15"/>
    </row>
    <row r="71" spans="1:39" x14ac:dyDescent="0.2">
      <c r="A71" s="18" t="s">
        <v>73</v>
      </c>
      <c r="B71" s="19">
        <v>45763</v>
      </c>
      <c r="C71" s="19">
        <v>45764</v>
      </c>
      <c r="D71" s="15"/>
      <c r="E71" s="16"/>
      <c r="F71" s="16"/>
      <c r="G71" s="16"/>
      <c r="H71" s="16"/>
      <c r="I71" s="16"/>
      <c r="J71" s="16"/>
      <c r="K71" s="16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  <c r="AB71" s="15"/>
      <c r="AC71" s="15"/>
      <c r="AD71" s="15"/>
      <c r="AE71" s="15"/>
      <c r="AF71" s="15"/>
      <c r="AG71" s="15"/>
      <c r="AH71" s="15"/>
      <c r="AI71" s="15"/>
      <c r="AJ71" s="15"/>
      <c r="AK71" s="15"/>
      <c r="AL71" s="15"/>
      <c r="AM71" s="15"/>
    </row>
    <row r="72" spans="1:39" x14ac:dyDescent="0.2">
      <c r="A72" s="20" t="s">
        <v>74</v>
      </c>
      <c r="B72" s="14">
        <v>45769</v>
      </c>
      <c r="C72" s="14">
        <v>45844</v>
      </c>
      <c r="D72" s="15"/>
      <c r="E72" s="16"/>
      <c r="F72" s="16"/>
      <c r="G72" s="16"/>
      <c r="H72" s="16"/>
      <c r="I72" s="16"/>
      <c r="J72" s="16"/>
      <c r="K72" s="16"/>
      <c r="L72" s="15"/>
      <c r="M72" s="15"/>
      <c r="N72" s="15"/>
      <c r="O72" s="15"/>
      <c r="P72" s="15"/>
      <c r="Q72" s="15"/>
      <c r="R72" s="15"/>
      <c r="S72" s="15"/>
      <c r="T72" s="15"/>
      <c r="U72" s="15"/>
      <c r="V72" s="15"/>
      <c r="W72" s="15"/>
      <c r="X72" s="15"/>
      <c r="Y72" s="15"/>
      <c r="Z72" s="15"/>
      <c r="AA72" s="15"/>
      <c r="AB72" s="15"/>
      <c r="AC72" s="15"/>
      <c r="AD72" s="15"/>
      <c r="AE72" s="15"/>
      <c r="AF72" s="15"/>
      <c r="AG72" s="15"/>
      <c r="AH72" s="15"/>
      <c r="AI72" s="15"/>
      <c r="AJ72" s="15"/>
      <c r="AK72" s="15"/>
      <c r="AL72" s="15"/>
      <c r="AM72" s="15"/>
    </row>
    <row r="73" spans="1:39" x14ac:dyDescent="0.2">
      <c r="A73" s="17" t="s">
        <v>75</v>
      </c>
      <c r="B73" s="14">
        <v>45769</v>
      </c>
      <c r="C73" s="14">
        <v>45775</v>
      </c>
      <c r="D73" s="15"/>
      <c r="E73" s="16"/>
      <c r="F73" s="16"/>
      <c r="G73" s="16"/>
      <c r="H73" s="16"/>
      <c r="I73" s="16"/>
      <c r="J73" s="16"/>
      <c r="K73" s="16"/>
      <c r="L73" s="15"/>
      <c r="M73" s="15"/>
      <c r="N73" s="15"/>
      <c r="O73" s="15"/>
      <c r="P73" s="15"/>
      <c r="Q73" s="15"/>
      <c r="R73" s="15"/>
      <c r="S73" s="15"/>
      <c r="T73" s="15"/>
      <c r="U73" s="15"/>
      <c r="V73" s="15"/>
      <c r="W73" s="15"/>
      <c r="X73" s="15"/>
      <c r="Y73" s="15"/>
      <c r="Z73" s="15"/>
      <c r="AA73" s="15"/>
      <c r="AB73" s="15"/>
      <c r="AC73" s="15"/>
      <c r="AD73" s="15"/>
      <c r="AE73" s="15"/>
      <c r="AF73" s="15"/>
      <c r="AG73" s="15"/>
      <c r="AH73" s="15"/>
      <c r="AI73" s="15"/>
      <c r="AJ73" s="15"/>
      <c r="AK73" s="15"/>
      <c r="AL73" s="15"/>
      <c r="AM73" s="15"/>
    </row>
    <row r="74" spans="1:39" x14ac:dyDescent="0.2">
      <c r="A74" s="18" t="s">
        <v>76</v>
      </c>
      <c r="B74" s="19">
        <v>45769</v>
      </c>
      <c r="C74" s="19">
        <v>45775</v>
      </c>
      <c r="D74" s="15"/>
      <c r="E74" s="16"/>
      <c r="F74" s="16"/>
      <c r="G74" s="16"/>
      <c r="H74" s="16"/>
      <c r="I74" s="16"/>
      <c r="J74" s="16"/>
      <c r="K74" s="16"/>
      <c r="L74" s="15"/>
      <c r="M74" s="15"/>
      <c r="N74" s="15"/>
      <c r="O74" s="15"/>
      <c r="P74" s="15"/>
      <c r="Q74" s="15"/>
      <c r="R74" s="15"/>
      <c r="S74" s="15"/>
      <c r="T74" s="15"/>
      <c r="U74" s="15"/>
      <c r="V74" s="15"/>
      <c r="W74" s="15"/>
      <c r="X74" s="15"/>
      <c r="Y74" s="15"/>
      <c r="Z74" s="15"/>
      <c r="AA74" s="15"/>
      <c r="AB74" s="15"/>
      <c r="AC74" s="15"/>
      <c r="AD74" s="15"/>
      <c r="AE74" s="15"/>
      <c r="AF74" s="15"/>
      <c r="AG74" s="15"/>
      <c r="AH74" s="15"/>
      <c r="AI74" s="15"/>
      <c r="AJ74" s="15"/>
      <c r="AK74" s="15"/>
      <c r="AL74" s="15"/>
      <c r="AM74" s="15"/>
    </row>
    <row r="75" spans="1:39" x14ac:dyDescent="0.2">
      <c r="A75" s="17" t="s">
        <v>78</v>
      </c>
      <c r="B75" s="14">
        <v>45776</v>
      </c>
      <c r="C75" s="14">
        <v>45782</v>
      </c>
      <c r="D75" s="15"/>
      <c r="E75" s="16"/>
      <c r="F75" s="16"/>
      <c r="G75" s="16"/>
      <c r="H75" s="16"/>
      <c r="I75" s="16"/>
      <c r="J75" s="16"/>
      <c r="K75" s="16"/>
      <c r="L75" s="15"/>
      <c r="M75" s="15"/>
      <c r="N75" s="15"/>
      <c r="O75" s="15"/>
      <c r="P75" s="15"/>
      <c r="Q75" s="15"/>
      <c r="R75" s="15"/>
      <c r="S75" s="15"/>
      <c r="T75" s="15"/>
      <c r="U75" s="15"/>
      <c r="V75" s="15"/>
      <c r="W75" s="15"/>
      <c r="X75" s="15"/>
      <c r="Y75" s="15"/>
      <c r="Z75" s="15"/>
      <c r="AA75" s="15"/>
      <c r="AB75" s="15"/>
      <c r="AC75" s="15"/>
      <c r="AD75" s="15"/>
      <c r="AE75" s="15"/>
      <c r="AF75" s="15"/>
      <c r="AG75" s="15"/>
      <c r="AH75" s="15"/>
      <c r="AI75" s="15"/>
      <c r="AJ75" s="15"/>
      <c r="AK75" s="15"/>
      <c r="AL75" s="15"/>
      <c r="AM75" s="15"/>
    </row>
    <row r="76" spans="1:39" x14ac:dyDescent="0.2">
      <c r="A76" s="18" t="s">
        <v>77</v>
      </c>
      <c r="B76" s="19">
        <v>45776</v>
      </c>
      <c r="C76" s="19">
        <v>45782</v>
      </c>
      <c r="D76" s="15"/>
      <c r="E76" s="16"/>
      <c r="F76" s="16"/>
      <c r="G76" s="16"/>
      <c r="H76" s="16"/>
      <c r="I76" s="16"/>
      <c r="J76" s="16"/>
      <c r="K76" s="16"/>
      <c r="L76" s="15"/>
      <c r="M76" s="15"/>
      <c r="N76" s="15"/>
      <c r="O76" s="15"/>
      <c r="P76" s="15"/>
      <c r="Q76" s="15"/>
      <c r="R76" s="15"/>
      <c r="S76" s="15"/>
      <c r="T76" s="15"/>
      <c r="U76" s="15"/>
      <c r="V76" s="15"/>
      <c r="W76" s="15"/>
      <c r="X76" s="15"/>
      <c r="Y76" s="15"/>
      <c r="Z76" s="15"/>
      <c r="AA76" s="15"/>
      <c r="AB76" s="15"/>
      <c r="AC76" s="15"/>
      <c r="AD76" s="15"/>
      <c r="AE76" s="15"/>
      <c r="AF76" s="15"/>
      <c r="AG76" s="15"/>
      <c r="AH76" s="15"/>
      <c r="AI76" s="15"/>
      <c r="AJ76" s="15"/>
      <c r="AK76" s="15"/>
      <c r="AL76" s="15"/>
      <c r="AM76" s="15"/>
    </row>
    <row r="77" spans="1:39" x14ac:dyDescent="0.2">
      <c r="A77" s="18" t="s">
        <v>79</v>
      </c>
      <c r="B77" s="19">
        <v>45783</v>
      </c>
      <c r="C77" s="19">
        <v>45796</v>
      </c>
      <c r="D77" s="15"/>
      <c r="E77" s="16"/>
      <c r="F77" s="16"/>
      <c r="G77" s="16"/>
      <c r="H77" s="16"/>
      <c r="I77" s="16"/>
      <c r="J77" s="16"/>
      <c r="K77" s="16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</row>
    <row r="78" spans="1:39" x14ac:dyDescent="0.2">
      <c r="A78" s="18" t="s">
        <v>80</v>
      </c>
      <c r="B78" s="19">
        <v>45783</v>
      </c>
      <c r="C78" s="19">
        <v>45796</v>
      </c>
      <c r="D78" s="15"/>
      <c r="E78" s="16"/>
      <c r="F78" s="16"/>
      <c r="G78" s="16"/>
      <c r="H78" s="16"/>
      <c r="I78" s="16"/>
      <c r="J78" s="16"/>
      <c r="K78" s="16"/>
      <c r="L78" s="15"/>
      <c r="M78" s="15"/>
      <c r="N78" s="15"/>
      <c r="O78" s="15"/>
      <c r="P78" s="15"/>
      <c r="Q78" s="15"/>
      <c r="R78" s="15"/>
      <c r="S78" s="15"/>
      <c r="T78" s="15"/>
      <c r="U78" s="15"/>
      <c r="V78" s="15"/>
      <c r="W78" s="15"/>
      <c r="X78" s="15"/>
      <c r="Y78" s="15"/>
      <c r="Z78" s="15"/>
      <c r="AA78" s="15"/>
      <c r="AB78" s="15"/>
      <c r="AC78" s="15"/>
      <c r="AD78" s="15"/>
      <c r="AE78" s="15"/>
      <c r="AF78" s="15"/>
      <c r="AG78" s="15"/>
      <c r="AH78" s="15"/>
      <c r="AI78" s="15"/>
      <c r="AJ78" s="15"/>
      <c r="AK78" s="15"/>
      <c r="AL78" s="15"/>
      <c r="AM78" s="15"/>
    </row>
    <row r="79" spans="1:39" x14ac:dyDescent="0.2">
      <c r="A79" s="18" t="s">
        <v>81</v>
      </c>
      <c r="B79" s="19">
        <v>45783</v>
      </c>
      <c r="C79" s="19">
        <v>45796</v>
      </c>
      <c r="D79" s="15"/>
      <c r="E79" s="16"/>
      <c r="F79" s="16"/>
      <c r="G79" s="16"/>
      <c r="H79" s="16"/>
      <c r="I79" s="16"/>
      <c r="J79" s="16"/>
      <c r="K79" s="16"/>
      <c r="L79" s="15"/>
      <c r="M79" s="15"/>
      <c r="N79" s="15"/>
      <c r="O79" s="15"/>
      <c r="P79" s="15"/>
      <c r="Q79" s="15"/>
      <c r="R79" s="15"/>
      <c r="S79" s="15"/>
      <c r="T79" s="15"/>
      <c r="U79" s="15"/>
      <c r="V79" s="15"/>
      <c r="W79" s="15"/>
      <c r="X79" s="15"/>
      <c r="Y79" s="15"/>
      <c r="Z79" s="15"/>
      <c r="AA79" s="15"/>
      <c r="AB79" s="15"/>
      <c r="AC79" s="15"/>
      <c r="AD79" s="15"/>
      <c r="AE79" s="15"/>
      <c r="AF79" s="15"/>
      <c r="AG79" s="15"/>
      <c r="AH79" s="15"/>
      <c r="AI79" s="15"/>
      <c r="AJ79" s="15"/>
      <c r="AK79" s="15"/>
      <c r="AL79" s="15"/>
      <c r="AM79" s="15"/>
    </row>
    <row r="80" spans="1:39" s="7" customFormat="1" x14ac:dyDescent="0.2">
      <c r="A80" s="17" t="s">
        <v>82</v>
      </c>
      <c r="B80" s="14">
        <v>45797</v>
      </c>
      <c r="C80" s="14">
        <v>45810</v>
      </c>
      <c r="D80" s="13"/>
      <c r="E80" s="21"/>
      <c r="F80" s="21"/>
      <c r="G80" s="21"/>
      <c r="H80" s="21"/>
      <c r="I80" s="21"/>
      <c r="J80" s="21"/>
      <c r="K80" s="21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</row>
    <row r="81" spans="1:39" x14ac:dyDescent="0.2">
      <c r="A81" s="18" t="s">
        <v>83</v>
      </c>
      <c r="B81" s="19">
        <v>45797</v>
      </c>
      <c r="C81" s="19">
        <v>45810</v>
      </c>
      <c r="D81" s="15"/>
      <c r="E81" s="16"/>
      <c r="F81" s="16"/>
      <c r="G81" s="16"/>
      <c r="H81" s="16"/>
      <c r="I81" s="16"/>
      <c r="J81" s="16"/>
      <c r="K81" s="16"/>
      <c r="L81" s="15"/>
      <c r="M81" s="15"/>
      <c r="N81" s="15"/>
      <c r="O81" s="15"/>
      <c r="P81" s="15"/>
      <c r="Q81" s="15"/>
      <c r="R81" s="15"/>
      <c r="S81" s="15"/>
      <c r="T81" s="15"/>
      <c r="U81" s="15"/>
      <c r="V81" s="15"/>
      <c r="W81" s="15"/>
      <c r="X81" s="15"/>
      <c r="Y81" s="15"/>
      <c r="Z81" s="15"/>
      <c r="AA81" s="15"/>
      <c r="AB81" s="15"/>
      <c r="AC81" s="15"/>
      <c r="AD81" s="15"/>
      <c r="AE81" s="15"/>
      <c r="AF81" s="15"/>
      <c r="AG81" s="15"/>
      <c r="AH81" s="15"/>
      <c r="AI81" s="15"/>
      <c r="AJ81" s="15"/>
      <c r="AK81" s="15"/>
      <c r="AL81" s="15"/>
      <c r="AM81" s="15"/>
    </row>
    <row r="82" spans="1:39" x14ac:dyDescent="0.2">
      <c r="A82" s="22" t="s">
        <v>84</v>
      </c>
      <c r="B82" s="19">
        <v>45797</v>
      </c>
      <c r="C82" s="19">
        <v>45810</v>
      </c>
      <c r="D82" s="15"/>
      <c r="E82" s="16"/>
      <c r="F82" s="16"/>
      <c r="G82" s="16"/>
      <c r="H82" s="16"/>
      <c r="I82" s="16"/>
      <c r="J82" s="16"/>
      <c r="K82" s="16"/>
      <c r="L82" s="15"/>
      <c r="M82" s="15"/>
      <c r="N82" s="15"/>
      <c r="O82" s="15"/>
      <c r="P82" s="15"/>
      <c r="Q82" s="15"/>
      <c r="R82" s="15"/>
      <c r="S82" s="15"/>
      <c r="T82" s="15"/>
      <c r="U82" s="15"/>
      <c r="V82" s="15"/>
      <c r="W82" s="15"/>
      <c r="X82" s="15"/>
      <c r="Y82" s="15"/>
      <c r="Z82" s="15"/>
      <c r="AA82" s="15"/>
      <c r="AB82" s="15"/>
      <c r="AC82" s="15"/>
      <c r="AD82" s="15"/>
      <c r="AE82" s="15"/>
      <c r="AF82" s="15"/>
      <c r="AG82" s="15"/>
      <c r="AH82" s="15"/>
      <c r="AI82" s="15"/>
      <c r="AJ82" s="15"/>
      <c r="AK82" s="15"/>
      <c r="AL82" s="15"/>
      <c r="AM82" s="15"/>
    </row>
    <row r="83" spans="1:39" x14ac:dyDescent="0.2">
      <c r="A83" s="18" t="s">
        <v>85</v>
      </c>
      <c r="B83" s="19">
        <v>45797</v>
      </c>
      <c r="C83" s="19">
        <v>45810</v>
      </c>
      <c r="D83" s="15"/>
      <c r="E83" s="16"/>
      <c r="F83" s="16"/>
      <c r="G83" s="16"/>
      <c r="H83" s="16"/>
      <c r="I83" s="16"/>
      <c r="J83" s="16"/>
      <c r="K83" s="16"/>
      <c r="L83" s="15"/>
      <c r="M83" s="15"/>
      <c r="N83" s="15"/>
      <c r="O83" s="15"/>
      <c r="P83" s="15"/>
      <c r="Q83" s="15"/>
      <c r="R83" s="15"/>
      <c r="S83" s="15"/>
      <c r="T83" s="15"/>
      <c r="U83" s="15"/>
      <c r="V83" s="15"/>
      <c r="W83" s="15"/>
      <c r="X83" s="15"/>
      <c r="Y83" s="15"/>
      <c r="Z83" s="15"/>
      <c r="AA83" s="15"/>
      <c r="AB83" s="15"/>
      <c r="AC83" s="15"/>
      <c r="AD83" s="15"/>
      <c r="AE83" s="15"/>
      <c r="AF83" s="15"/>
      <c r="AG83" s="15"/>
      <c r="AH83" s="15"/>
      <c r="AI83" s="15"/>
      <c r="AJ83" s="15"/>
      <c r="AK83" s="15"/>
      <c r="AL83" s="15"/>
      <c r="AM83" s="15"/>
    </row>
    <row r="84" spans="1:39" x14ac:dyDescent="0.2">
      <c r="A84" s="22" t="s">
        <v>86</v>
      </c>
      <c r="B84" s="19">
        <v>45797</v>
      </c>
      <c r="C84" s="19">
        <v>45810</v>
      </c>
      <c r="D84" s="15"/>
      <c r="E84" s="16"/>
      <c r="F84" s="16"/>
      <c r="G84" s="16"/>
      <c r="H84" s="16"/>
      <c r="I84" s="16"/>
      <c r="J84" s="16"/>
      <c r="K84" s="16"/>
      <c r="L84" s="15"/>
      <c r="M84" s="15"/>
      <c r="N84" s="15"/>
      <c r="O84" s="15"/>
      <c r="P84" s="15"/>
      <c r="Q84" s="15"/>
      <c r="R84" s="15"/>
      <c r="S84" s="15"/>
      <c r="T84" s="15"/>
      <c r="U84" s="15"/>
      <c r="V84" s="15"/>
      <c r="W84" s="15"/>
      <c r="X84" s="15"/>
      <c r="Y84" s="15"/>
      <c r="Z84" s="15"/>
      <c r="AA84" s="15"/>
      <c r="AB84" s="15"/>
      <c r="AC84" s="15"/>
      <c r="AD84" s="15"/>
      <c r="AE84" s="15"/>
      <c r="AF84" s="15"/>
      <c r="AG84" s="15"/>
      <c r="AH84" s="15"/>
      <c r="AI84" s="15"/>
      <c r="AJ84" s="15"/>
      <c r="AK84" s="15"/>
      <c r="AL84" s="15"/>
      <c r="AM84" s="15"/>
    </row>
    <row r="85" spans="1:39" s="7" customFormat="1" x14ac:dyDescent="0.2">
      <c r="A85" s="17" t="s">
        <v>87</v>
      </c>
      <c r="B85" s="14">
        <v>45811</v>
      </c>
      <c r="C85" s="14">
        <v>45824</v>
      </c>
      <c r="D85" s="13"/>
      <c r="E85" s="21"/>
      <c r="F85" s="21"/>
      <c r="G85" s="21"/>
      <c r="H85" s="21"/>
      <c r="I85" s="21"/>
      <c r="J85" s="21"/>
      <c r="K85" s="21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</row>
    <row r="86" spans="1:39" x14ac:dyDescent="0.2">
      <c r="A86" s="18" t="s">
        <v>88</v>
      </c>
      <c r="B86" s="19">
        <v>45811</v>
      </c>
      <c r="C86" s="19">
        <v>45824</v>
      </c>
      <c r="D86" s="15"/>
      <c r="E86" s="16"/>
      <c r="F86" s="16"/>
      <c r="G86" s="16"/>
      <c r="H86" s="16"/>
      <c r="I86" s="16"/>
      <c r="J86" s="16"/>
      <c r="K86" s="16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</row>
    <row r="87" spans="1:39" x14ac:dyDescent="0.2">
      <c r="A87" s="18" t="s">
        <v>89</v>
      </c>
      <c r="B87" s="19">
        <v>45825</v>
      </c>
      <c r="C87" s="19">
        <v>45831</v>
      </c>
      <c r="D87" s="15"/>
      <c r="E87" s="16"/>
      <c r="F87" s="16"/>
      <c r="G87" s="16"/>
      <c r="H87" s="16"/>
      <c r="I87" s="16"/>
      <c r="J87" s="16"/>
      <c r="K87" s="16"/>
      <c r="L87" s="15"/>
      <c r="M87" s="15"/>
      <c r="N87" s="15"/>
      <c r="O87" s="15"/>
      <c r="P87" s="15"/>
      <c r="Q87" s="15"/>
      <c r="R87" s="15"/>
      <c r="S87" s="15"/>
      <c r="T87" s="15"/>
      <c r="U87" s="15"/>
      <c r="V87" s="15"/>
      <c r="W87" s="15"/>
      <c r="X87" s="15"/>
      <c r="Y87" s="15"/>
      <c r="Z87" s="15"/>
      <c r="AA87" s="15"/>
      <c r="AB87" s="15"/>
      <c r="AC87" s="15"/>
      <c r="AD87" s="15"/>
      <c r="AE87" s="15"/>
      <c r="AF87" s="15"/>
      <c r="AG87" s="15"/>
      <c r="AH87" s="15"/>
      <c r="AI87" s="15"/>
      <c r="AJ87" s="15"/>
      <c r="AK87" s="15"/>
      <c r="AL87" s="15"/>
      <c r="AM87" s="15"/>
    </row>
    <row r="88" spans="1:39" x14ac:dyDescent="0.2">
      <c r="A88" s="18" t="s">
        <v>27</v>
      </c>
      <c r="B88" s="19">
        <v>45825</v>
      </c>
      <c r="C88" s="19">
        <v>45831</v>
      </c>
      <c r="D88" s="15"/>
      <c r="E88" s="16"/>
      <c r="F88" s="16"/>
      <c r="G88" s="16"/>
      <c r="H88" s="16"/>
      <c r="I88" s="16"/>
      <c r="J88" s="16"/>
      <c r="K88" s="16"/>
      <c r="L88" s="15"/>
      <c r="M88" s="15"/>
      <c r="N88" s="15"/>
      <c r="O88" s="15"/>
      <c r="P88" s="15"/>
      <c r="Q88" s="15"/>
      <c r="R88" s="15"/>
      <c r="S88" s="15"/>
      <c r="T88" s="15"/>
      <c r="U88" s="15"/>
      <c r="V88" s="15"/>
      <c r="W88" s="15"/>
      <c r="X88" s="15"/>
      <c r="Y88" s="15"/>
      <c r="Z88" s="15"/>
      <c r="AA88" s="15"/>
      <c r="AB88" s="15"/>
      <c r="AC88" s="15"/>
      <c r="AD88" s="15"/>
      <c r="AE88" s="15"/>
      <c r="AF88" s="15"/>
      <c r="AG88" s="15"/>
      <c r="AH88" s="15"/>
      <c r="AI88" s="15"/>
      <c r="AJ88" s="15"/>
      <c r="AK88" s="15"/>
      <c r="AL88" s="15"/>
      <c r="AM88" s="15"/>
    </row>
    <row r="89" spans="1:39" x14ac:dyDescent="0.2">
      <c r="A89" s="22" t="s">
        <v>90</v>
      </c>
      <c r="B89" s="19">
        <v>45825</v>
      </c>
      <c r="C89" s="19">
        <v>45831</v>
      </c>
      <c r="D89" s="15"/>
      <c r="E89" s="16"/>
      <c r="F89" s="16"/>
      <c r="G89" s="16"/>
      <c r="H89" s="16"/>
      <c r="I89" s="16"/>
      <c r="J89" s="16"/>
      <c r="K89" s="16"/>
      <c r="L89" s="15"/>
      <c r="M89" s="15"/>
      <c r="N89" s="15"/>
      <c r="O89" s="15"/>
      <c r="P89" s="15"/>
      <c r="Q89" s="15"/>
      <c r="R89" s="15"/>
      <c r="S89" s="15"/>
      <c r="T89" s="15"/>
      <c r="U89" s="15"/>
      <c r="V89" s="15"/>
      <c r="W89" s="15"/>
      <c r="X89" s="15"/>
      <c r="Y89" s="15"/>
      <c r="Z89" s="15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</row>
    <row r="90" spans="1:39" x14ac:dyDescent="0.2">
      <c r="A90" s="17" t="s">
        <v>91</v>
      </c>
      <c r="B90" s="14">
        <v>45832</v>
      </c>
      <c r="C90" s="14">
        <v>45844</v>
      </c>
      <c r="D90" s="15"/>
      <c r="E90" s="16"/>
      <c r="F90" s="16"/>
      <c r="G90" s="16"/>
      <c r="H90" s="16"/>
      <c r="I90" s="16"/>
      <c r="J90" s="16"/>
      <c r="K90" s="16"/>
      <c r="L90" s="15"/>
      <c r="M90" s="15"/>
      <c r="N90" s="15"/>
      <c r="O90" s="15"/>
      <c r="P90" s="15"/>
      <c r="Q90" s="15"/>
      <c r="R90" s="15"/>
      <c r="S90" s="15"/>
      <c r="T90" s="15"/>
      <c r="U90" s="15"/>
      <c r="V90" s="15"/>
      <c r="W90" s="15"/>
      <c r="X90" s="15"/>
      <c r="Y90" s="15"/>
      <c r="Z90" s="15"/>
      <c r="AA90" s="15"/>
      <c r="AB90" s="15"/>
      <c r="AC90" s="15"/>
      <c r="AD90" s="15"/>
      <c r="AE90" s="15"/>
      <c r="AF90" s="15"/>
      <c r="AG90" s="15"/>
      <c r="AH90" s="15"/>
      <c r="AI90" s="15"/>
      <c r="AJ90" s="15"/>
      <c r="AK90" s="15"/>
      <c r="AL90" s="15"/>
      <c r="AM90" s="15"/>
    </row>
    <row r="91" spans="1:39" x14ac:dyDescent="0.2">
      <c r="A91" s="18" t="s">
        <v>92</v>
      </c>
      <c r="B91" s="19">
        <v>45832</v>
      </c>
      <c r="C91" s="19">
        <v>45838</v>
      </c>
      <c r="D91" s="15"/>
      <c r="E91" s="16"/>
      <c r="F91" s="16"/>
      <c r="G91" s="16"/>
      <c r="H91" s="16"/>
      <c r="I91" s="16"/>
      <c r="J91" s="16"/>
      <c r="K91" s="16"/>
      <c r="L91" s="15"/>
      <c r="M91" s="15"/>
      <c r="N91" s="15"/>
      <c r="O91" s="15"/>
      <c r="P91" s="15"/>
      <c r="Q91" s="15"/>
      <c r="R91" s="15"/>
      <c r="S91" s="15"/>
      <c r="T91" s="15"/>
      <c r="U91" s="15"/>
      <c r="V91" s="15"/>
      <c r="W91" s="15"/>
      <c r="X91" s="15"/>
      <c r="Y91" s="15"/>
      <c r="Z91" s="15"/>
      <c r="AA91" s="15"/>
      <c r="AB91" s="15"/>
      <c r="AC91" s="15"/>
      <c r="AD91" s="15"/>
      <c r="AE91" s="15"/>
      <c r="AF91" s="15"/>
      <c r="AG91" s="15"/>
      <c r="AH91" s="15"/>
      <c r="AI91" s="15"/>
      <c r="AJ91" s="15"/>
      <c r="AK91" s="15"/>
      <c r="AL91" s="15"/>
      <c r="AM91" s="15"/>
    </row>
    <row r="92" spans="1:39" x14ac:dyDescent="0.2">
      <c r="A92" s="18" t="s">
        <v>93</v>
      </c>
      <c r="B92" s="19">
        <v>45839</v>
      </c>
      <c r="C92" s="19">
        <v>45844</v>
      </c>
      <c r="D92" s="15"/>
      <c r="E92" s="16"/>
      <c r="F92" s="16"/>
      <c r="G92" s="16"/>
      <c r="H92" s="16"/>
      <c r="I92" s="16"/>
      <c r="J92" s="16"/>
      <c r="K92" s="16"/>
      <c r="L92" s="15"/>
      <c r="M92" s="15"/>
      <c r="N92" s="15"/>
      <c r="O92" s="15"/>
      <c r="P92" s="15"/>
      <c r="Q92" s="15"/>
      <c r="R92" s="15"/>
      <c r="S92" s="15"/>
      <c r="T92" s="15"/>
      <c r="U92" s="15"/>
      <c r="V92" s="15"/>
      <c r="W92" s="15"/>
      <c r="X92" s="15"/>
      <c r="Y92" s="15"/>
      <c r="Z92" s="15"/>
      <c r="AA92" s="15"/>
      <c r="AB92" s="15"/>
      <c r="AC92" s="15"/>
      <c r="AD92" s="15"/>
      <c r="AE92" s="15"/>
      <c r="AF92" s="15"/>
      <c r="AG92" s="15"/>
      <c r="AH92" s="15"/>
      <c r="AI92" s="15"/>
      <c r="AJ92" s="15"/>
      <c r="AK92" s="15"/>
      <c r="AL92" s="15"/>
      <c r="AM92" s="15"/>
    </row>
    <row r="93" spans="1:39" x14ac:dyDescent="0.2">
      <c r="A93" s="18" t="s">
        <v>94</v>
      </c>
      <c r="B93" s="19">
        <v>45839</v>
      </c>
      <c r="C93" s="19">
        <v>45844</v>
      </c>
      <c r="D93" s="15"/>
      <c r="E93" s="16"/>
      <c r="F93" s="16"/>
      <c r="G93" s="16"/>
      <c r="H93" s="16"/>
      <c r="I93" s="16"/>
      <c r="J93" s="16"/>
      <c r="K93" s="16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</row>
    <row r="94" spans="1:39" x14ac:dyDescent="0.2">
      <c r="A94" s="18" t="s">
        <v>95</v>
      </c>
      <c r="B94" s="19">
        <v>45839</v>
      </c>
      <c r="C94" s="19">
        <v>45844</v>
      </c>
      <c r="D94" s="15"/>
      <c r="E94" s="16"/>
      <c r="F94" s="16"/>
      <c r="G94" s="16"/>
      <c r="H94" s="16"/>
      <c r="I94" s="16"/>
      <c r="J94" s="16"/>
      <c r="K94" s="16"/>
      <c r="L94" s="15"/>
      <c r="M94" s="15"/>
      <c r="N94" s="15"/>
      <c r="O94" s="15"/>
      <c r="P94" s="15"/>
      <c r="Q94" s="15"/>
      <c r="R94" s="15"/>
      <c r="S94" s="15"/>
      <c r="T94" s="15"/>
      <c r="U94" s="15"/>
      <c r="V94" s="15"/>
      <c r="W94" s="15"/>
      <c r="X94" s="15"/>
      <c r="Y94" s="15"/>
      <c r="Z94" s="15"/>
      <c r="AA94" s="15"/>
      <c r="AB94" s="15"/>
      <c r="AC94" s="15"/>
      <c r="AD94" s="15"/>
      <c r="AE94" s="15"/>
      <c r="AF94" s="15"/>
      <c r="AG94" s="15"/>
      <c r="AH94" s="15"/>
      <c r="AI94" s="15"/>
      <c r="AJ94" s="15"/>
      <c r="AK94" s="15"/>
      <c r="AL94" s="15"/>
      <c r="AM94" s="15"/>
    </row>
  </sheetData>
  <mergeCells count="8">
    <mergeCell ref="AG4:AM4"/>
    <mergeCell ref="A1:A2"/>
    <mergeCell ref="E4:K4"/>
    <mergeCell ref="L4:R4"/>
    <mergeCell ref="S4:Y4"/>
    <mergeCell ref="B3:C3"/>
    <mergeCell ref="B4:C4"/>
    <mergeCell ref="Z4:AF4"/>
  </mergeCells>
  <conditionalFormatting sqref="D7:D94">
    <cfRule type="dataBar" priority="1">
      <dataBar>
        <cfvo type="num" val="0"/>
        <cfvo type="num" val="1"/>
        <color theme="0" tint="-0.34998626667073579"/>
      </dataBar>
      <extLst>
        <ext xmlns:x14="http://schemas.microsoft.com/office/spreadsheetml/2009/9/main" uri="{B025F937-C7B1-47D3-B67F-A62EFF666E3E}">
          <x14:id>{686332CA-623B-4AB2-B282-578277B87684}</x14:id>
        </ext>
      </extLst>
    </cfRule>
  </conditionalFormatting>
  <conditionalFormatting sqref="E5:AM94">
    <cfRule type="expression" dxfId="1" priority="2">
      <formula>XEA$5=TODAY()</formula>
    </cfRule>
  </conditionalFormatting>
  <conditionalFormatting sqref="E7:AM94">
    <cfRule type="expression" dxfId="0" priority="3">
      <formula>AND(E$5&gt;=$B7,E$5&lt;=$C7)</formula>
    </cfRule>
  </conditionalFormatting>
  <pageMargins left="0.7" right="0.7" top="0.75" bottom="0.75" header="0.3" footer="0.3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6" r:id="rId4" name="Scroll Bar 2">
              <controlPr defaultSize="0" autoPict="0">
                <anchor moveWithCells="1">
                  <from>
                    <xdr:col>4</xdr:col>
                    <xdr:colOff>12700</xdr:colOff>
                    <xdr:row>1</xdr:row>
                    <xdr:rowOff>63500</xdr:rowOff>
                  </from>
                  <to>
                    <xdr:col>25</xdr:col>
                    <xdr:colOff>0</xdr:colOff>
                    <xdr:row>2</xdr:row>
                    <xdr:rowOff>177800</xdr:rowOff>
                  </to>
                </anchor>
              </controlPr>
            </control>
          </mc:Choice>
        </mc:AlternateContent>
      </controls>
    </mc:Choice>
  </mc:AlternateContent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86332CA-623B-4AB2-B282-578277B87684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D7:D94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80A4-1261-4371-9FC0-1A9A0FB8C192}">
  <dimension ref="A1:B4"/>
  <sheetViews>
    <sheetView workbookViewId="0">
      <selection activeCell="B5" sqref="B5"/>
    </sheetView>
  </sheetViews>
  <sheetFormatPr baseColWidth="10" defaultColWidth="8.83203125" defaultRowHeight="15" x14ac:dyDescent="0.2"/>
  <cols>
    <col min="1" max="1" width="18.33203125" bestFit="1" customWidth="1"/>
    <col min="2" max="2" width="10" bestFit="1" customWidth="1"/>
  </cols>
  <sheetData>
    <row r="1" spans="1:2" x14ac:dyDescent="0.2">
      <c r="A1" t="s">
        <v>9</v>
      </c>
      <c r="B1" t="s">
        <v>10</v>
      </c>
    </row>
    <row r="2" spans="1:2" x14ac:dyDescent="0.2">
      <c r="A2" t="s">
        <v>11</v>
      </c>
      <c r="B2" s="1">
        <v>45571</v>
      </c>
    </row>
    <row r="3" spans="1:2" x14ac:dyDescent="0.2">
      <c r="A3" t="s">
        <v>29</v>
      </c>
      <c r="B3" s="1">
        <v>45620</v>
      </c>
    </row>
    <row r="4" spans="1:2" x14ac:dyDescent="0.2">
      <c r="A4" t="s">
        <v>96</v>
      </c>
      <c r="B4" s="1">
        <v>45844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22E77-3376-4404-9BD1-919EE200D7B9}">
  <dimension ref="A1:C3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16" bestFit="1" customWidth="1"/>
    <col min="2" max="3" width="10" bestFit="1" customWidth="1"/>
  </cols>
  <sheetData>
    <row r="1" spans="1:3" x14ac:dyDescent="0.2">
      <c r="A1" t="s">
        <v>37</v>
      </c>
      <c r="B1" t="s">
        <v>38</v>
      </c>
      <c r="C1" t="s">
        <v>39</v>
      </c>
    </row>
    <row r="2" spans="1:3" x14ac:dyDescent="0.2">
      <c r="A2" t="s">
        <v>44</v>
      </c>
      <c r="B2" s="1">
        <v>45650</v>
      </c>
      <c r="C2" s="1">
        <v>45653</v>
      </c>
    </row>
    <row r="3" spans="1:3" x14ac:dyDescent="0.2">
      <c r="A3" t="s">
        <v>43</v>
      </c>
      <c r="B3" s="1">
        <v>45656</v>
      </c>
      <c r="C3" s="1">
        <v>45658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Deadlines</vt:lpstr>
      <vt:lpstr>Holidays</vt:lpstr>
      <vt:lpstr>display_week</vt:lpstr>
      <vt:lpstr>project_start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Galbraith-Edge</dc:creator>
  <cp:lastModifiedBy>Jack McIntyre Galbraith-Edge</cp:lastModifiedBy>
  <dcterms:created xsi:type="dcterms:W3CDTF">2024-11-20T02:44:28Z</dcterms:created>
  <dcterms:modified xsi:type="dcterms:W3CDTF">2025-02-09T04:39:32Z</dcterms:modified>
</cp:coreProperties>
</file>